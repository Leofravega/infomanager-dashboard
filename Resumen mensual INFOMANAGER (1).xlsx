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mensual" sheetId="1" r:id="rId5"/>
    <sheet state="visible" name="Enero_26" sheetId="2" r:id="rId6"/>
    <sheet state="visible" name="Diciembre_25" sheetId="3" r:id="rId7"/>
    <sheet state="visible" name="Noviembre_25" sheetId="4" r:id="rId8"/>
    <sheet state="visible" name="Octubre_25" sheetId="5" r:id="rId9"/>
    <sheet state="visible" name="Septiembre_25" sheetId="6" r:id="rId10"/>
    <sheet state="visible" name="Agosto_25" sheetId="7" r:id="rId11"/>
    <sheet state="visible" name="Julio_25" sheetId="8" r:id="rId12"/>
    <sheet state="visible" name="Hoja 4" sheetId="9" r:id="rId13"/>
    <sheet state="visible" name="Junio_25" sheetId="10" r:id="rId14"/>
  </sheets>
  <definedNames/>
  <calcPr/>
</workbook>
</file>

<file path=xl/sharedStrings.xml><?xml version="1.0" encoding="utf-8"?>
<sst xmlns="http://schemas.openxmlformats.org/spreadsheetml/2006/main" count="1668" uniqueCount="144">
  <si>
    <t>TC</t>
  </si>
  <si>
    <t>TOTALES</t>
  </si>
  <si>
    <t>DÍAS DEL MES</t>
  </si>
  <si>
    <t>Métrica / fecha</t>
  </si>
  <si>
    <t>ENERO</t>
  </si>
  <si>
    <t>FEBRERO</t>
  </si>
  <si>
    <t>MARZO</t>
  </si>
  <si>
    <t>ABRIL</t>
  </si>
  <si>
    <t>MAYO</t>
  </si>
  <si>
    <t>JUNIO</t>
  </si>
  <si>
    <t>JULIO</t>
  </si>
  <si>
    <t>AGOSTO</t>
  </si>
  <si>
    <t>SEPTIEMBRE</t>
  </si>
  <si>
    <t>OCTUBRE</t>
  </si>
  <si>
    <t>NOVIEMBRE</t>
  </si>
  <si>
    <t>DICIEMBRE</t>
  </si>
  <si>
    <t>PROMEDIOS</t>
  </si>
  <si>
    <t>OBJETIVO</t>
  </si>
  <si>
    <t>PROYECCIÓN</t>
  </si>
  <si>
    <t>Inversión total</t>
  </si>
  <si>
    <t>Inv USD</t>
  </si>
  <si>
    <t>Leads Ingresados</t>
  </si>
  <si>
    <t xml:space="preserve">CPL </t>
  </si>
  <si>
    <t>CPL USD</t>
  </si>
  <si>
    <t>Reuniones</t>
  </si>
  <si>
    <t>CPR</t>
  </si>
  <si>
    <t>CPR USD</t>
  </si>
  <si>
    <t>% Lead a reunión</t>
  </si>
  <si>
    <t>Cierres</t>
  </si>
  <si>
    <t>CP_CIERRE</t>
  </si>
  <si>
    <t>CPC USD</t>
  </si>
  <si>
    <t>CIERRES TOTALES</t>
  </si>
  <si>
    <t>% lead a cierre</t>
  </si>
  <si>
    <t>% reunión a cierre</t>
  </si>
  <si>
    <t>Proyección septiembre</t>
  </si>
  <si>
    <t>PROYECCIÓN SEPTIEMBRE</t>
  </si>
  <si>
    <t>DIA</t>
  </si>
  <si>
    <t>% DEL MES</t>
  </si>
  <si>
    <t>01/01 al 06/01</t>
  </si>
  <si>
    <t>07/01 al 13/01</t>
  </si>
  <si>
    <t>14/01 al 20/01</t>
  </si>
  <si>
    <t>21/01 al 27/01</t>
  </si>
  <si>
    <t>28/01 al 31/01</t>
  </si>
  <si>
    <t>TOTAL</t>
  </si>
  <si>
    <t>% DE LOGRO</t>
  </si>
  <si>
    <t>PROYECC</t>
  </si>
  <si>
    <t>.</t>
  </si>
  <si>
    <t>Reuniones agendadas</t>
  </si>
  <si>
    <t>Reuniones efectivas</t>
  </si>
  <si>
    <t>Embudo</t>
  </si>
  <si>
    <t>CPE</t>
  </si>
  <si>
    <t>CPE USD</t>
  </si>
  <si>
    <t>% Lead a embudo</t>
  </si>
  <si>
    <t>Costo por Cierre</t>
  </si>
  <si>
    <t>CORRALONES</t>
  </si>
  <si>
    <t>DISTRIBUIDORA</t>
  </si>
  <si>
    <t>CARNICERIA</t>
  </si>
  <si>
    <t>FIAMBRERÍA</t>
  </si>
  <si>
    <t>REMARKETING</t>
  </si>
  <si>
    <t>FERRETERÍA</t>
  </si>
  <si>
    <t>WEB - PAUTA</t>
  </si>
  <si>
    <t>desglose de canales</t>
  </si>
  <si>
    <t>Inversión Meta</t>
  </si>
  <si>
    <t>Inversión Google</t>
  </si>
  <si>
    <t>Reuniones totales</t>
  </si>
  <si>
    <t>Reuniones meta</t>
  </si>
  <si>
    <t>Reuniones web</t>
  </si>
  <si>
    <t>CPR Meta</t>
  </si>
  <si>
    <t>CPR Google</t>
  </si>
  <si>
    <t>Cierres Meta</t>
  </si>
  <si>
    <t>Cierres Google</t>
  </si>
  <si>
    <t>Costo por Cierre Meta</t>
  </si>
  <si>
    <t>Costo por Cierre Google</t>
  </si>
  <si>
    <t>RUBROS</t>
  </si>
  <si>
    <t>FIAMBRERIA</t>
  </si>
  <si>
    <t>FERRETERIA</t>
  </si>
  <si>
    <t>WEB</t>
  </si>
  <si>
    <t>% de inversión</t>
  </si>
  <si>
    <t>PROYECCIÓN enero</t>
  </si>
  <si>
    <t>Inversión diaria</t>
  </si>
  <si>
    <t>%</t>
  </si>
  <si>
    <t>01/12 al 02/12</t>
  </si>
  <si>
    <t>03/12 al 09/12</t>
  </si>
  <si>
    <t>10/12 al 16/12</t>
  </si>
  <si>
    <t>17/12 al 23/12</t>
  </si>
  <si>
    <t>24/12 al 31/12</t>
  </si>
  <si>
    <t>PROYECCIÓN DICIEMBRE</t>
  </si>
  <si>
    <t>01/11 al 04/11</t>
  </si>
  <si>
    <t>05/11 al 11/11</t>
  </si>
  <si>
    <t>12/11 al 18/11</t>
  </si>
  <si>
    <t>19/11 al 25/11</t>
  </si>
  <si>
    <t>26/11 al 30/11</t>
  </si>
  <si>
    <t>En líneas generales, el costo por lead disminuyó durante la segunda semana del mes y también aumentó la cantidad de reuniones efectivas. Sin embargo, los números muestran que aún debemos optimizar la calidad de los leads, especialmente en el segmento de distribuidores. En este caso, el costo por lead se incrementó y, en comparación, la cantidad de reuniones efectivas fue baja, lo que indica que necesitamos seguir mejorando la segmentación y la calidad del público.
Por este motivo, volveremos a subir una base de datos actualizada para crear públicos similares, priorizando a las personas que ya concretaron reuniones, con el objetivo de obtener leads de mayor calidad. Además, vamos a analizar si en Kommo es posible identificar los días específicos en los que se reciben más mensajes. Si es así, programaremos en Meta Ads un aumento de inversión en esos días puntuales para potenciar la cantidad de contactos generados.</t>
  </si>
  <si>
    <t>ELECTRODOMÉSTICOS</t>
  </si>
  <si>
    <t>ELECTRO</t>
  </si>
  <si>
    <t>PROYECCIÓN NOVIEMBRE</t>
  </si>
  <si>
    <t>01/10 al 07/10</t>
  </si>
  <si>
    <t>08/10 al 14/10</t>
  </si>
  <si>
    <t>15/10 al 21/10</t>
  </si>
  <si>
    <t>22/10 al 28/10</t>
  </si>
  <si>
    <t>29/10 al 31/10</t>
  </si>
  <si>
    <r>
      <rPr>
        <b/>
        <sz val="11.0"/>
      </rPr>
      <t xml:space="preserve">Resumen de resultados:
</t>
    </r>
    <r>
      <rPr>
        <sz val="11.0"/>
      </rPr>
      <t xml:space="preserve">Observamos que el costo por lead ha bajado, probablemente gracias a la base de datos que subimos para mejorar la calidad de los contactos.
</t>
    </r>
    <r>
      <rPr>
        <b/>
        <sz val="11.0"/>
      </rPr>
      <t xml:space="preserve">Propuestas de mejora:
</t>
    </r>
    <r>
      <rPr>
        <sz val="11.0"/>
      </rPr>
      <t xml:space="preserve">• Trabajar sobre los creativos de los anuncios para realizar testeos constantes.
• Producir un video más profesional que muestre las funcionalidades del software de InfoManager, transmitiendo mayor calidad y destacando el valor agregado frente a la competencia. </t>
    </r>
    <r>
      <rPr>
        <color rgb="FF1155CC"/>
        <sz val="11.0"/>
        <u/>
      </rPr>
      <t xml:space="preserve">Ejemplo  </t>
    </r>
    <r>
      <rPr>
        <sz val="11.0"/>
      </rPr>
      <t xml:space="preserve">
• Comunicar en los anuncios el diferencial de InfoManager a comparación de la competencia como eje principal.
• Realizar testeos mensuales de diferentes formatos (videos, carruseles y piezas estáticas) para optimizar el rendimiento de las campañas.
• Renovar mensualmente la base de datos para ampliar las posibilidades de captar leads de calidad.
</t>
    </r>
  </si>
  <si>
    <r>
      <rPr>
        <b/>
        <sz val="11.0"/>
      </rPr>
      <t>Resumen de resultados:</t>
    </r>
    <r>
      <rPr>
        <sz val="11.0"/>
      </rPr>
      <t xml:space="preserve">
 En cuanto a la cantidad de leads, este mes ingresaron más que el mes pasado: en el mes anterior se obtuvieron 156 leads, mientras que este mes llevamos 232. Sin embargo, a pesar del aumento en cantidad, sería necesario mejorar la calidad de los leads, ya que el costo de la cuarta semana fue elevado.
</t>
    </r>
    <r>
      <rPr>
        <b/>
        <sz val="11.0"/>
      </rPr>
      <t>Propuestas de mejora:</t>
    </r>
    <r>
      <rPr>
        <sz val="11.0"/>
      </rPr>
      <t xml:space="preserve">
 • Optimizar la calidad de los anuncios para mejorar la conversión de leads.
 • Tomar como referencia el </t>
    </r>
    <r>
      <rPr>
        <color rgb="FF1155CC"/>
        <sz val="11.0"/>
        <u/>
      </rPr>
      <t>video de Gaby</t>
    </r>
    <r>
      <rPr>
        <sz val="11.0"/>
      </rPr>
      <t xml:space="preserve">, que tuvo buen rendimiento, y desarrollar una nueva pieza similar.
 • Incorporar carruseles a la estrategia, ya que hasta el momento solo se han utilizado formatos de video y piezas estáticas.
 • Continuar utilizando la base de datos actualizada para seguir mejorando la segmentación y la calidad de los leads.
</t>
    </r>
  </si>
  <si>
    <t>Vemos que durante la tercera y cuarta semana los costos por lead mejoraron. Justamente en la tercera semana se subió la base de datos, y es probable que ese cambio haya contribuido a generar más reuniones. Además, se pausaron los anuncios que no estaban funcionando para optimizar el presupuesto y reducir costos.</t>
  </si>
  <si>
    <r>
      <rPr>
        <rFont val="Arial"/>
        <b/>
        <color theme="1"/>
        <sz val="11.0"/>
      </rPr>
      <t xml:space="preserve">Resumen de resultados:
</t>
    </r>
    <r>
      <rPr>
        <rFont val="Arial"/>
        <color theme="1"/>
        <sz val="11.0"/>
      </rPr>
      <t xml:space="preserve">Observamos una mejora significativa, ya que el costo por lead viene bajando desde la tercera y cuarta semana. Además, en esta última semana se registró un aumento en la cantidad de reuniones.
</t>
    </r>
    <r>
      <rPr>
        <rFont val="Arial"/>
        <b/>
        <color theme="1"/>
        <sz val="11.0"/>
      </rPr>
      <t xml:space="preserve">Propuestas de mejora:
</t>
    </r>
    <r>
      <rPr>
        <rFont val="Arial"/>
        <color theme="1"/>
        <sz val="11.0"/>
      </rPr>
      <t>• Probar nuevos formatos de anuncio, como carruseles, para realizar testeos y continuar optimizando el rendimiento de las campañas.</t>
    </r>
  </si>
  <si>
    <r>
      <rPr>
        <b/>
        <sz val="11.0"/>
      </rPr>
      <t xml:space="preserve">Resumen de resultados:
</t>
    </r>
    <r>
      <rPr>
        <sz val="11.0"/>
      </rPr>
      <t xml:space="preserve">En Google Ads se observa una caída en el rendimiento en comparación con el mes anterior.
</t>
    </r>
    <r>
      <rPr>
        <b/>
        <sz val="11.0"/>
      </rPr>
      <t xml:space="preserve">Propuestas de mejora:
</t>
    </r>
    <r>
      <rPr>
        <sz val="11.0"/>
      </rPr>
      <t>• Pausar la campaña de Máximo Rendimiento para focalizar el presupuesto en una campaña de Search, redirigiendo todo el presupuesto actual a esta.
• Subir la misma base de datos utilizada en Meta Ads para impactar a audiencias similares.
• Trabajar con palabras clave más precisas y asertivas para mejorar la segmentación y la calidad de los resultados.</t>
    </r>
    <r>
      <rPr>
        <color rgb="FF1155CC"/>
        <sz val="11.0"/>
        <u/>
      </rPr>
      <t xml:space="preserve"> Palabras claves</t>
    </r>
  </si>
  <si>
    <t>PROYECCIÓN OCTUBRE</t>
  </si>
  <si>
    <t>01/09 al 07/09</t>
  </si>
  <si>
    <t>08/09 al 14/09</t>
  </si>
  <si>
    <t>15/09 al 21/09</t>
  </si>
  <si>
    <t>22/09 al 28/09</t>
  </si>
  <si>
    <t>29/09 al 30/09</t>
  </si>
  <si>
    <t xml:space="preserve">LECTURAS SEMANA 1
Durante la primer semana de Septiembre el CPL fué de $4.375, por encima del objetivo de $4.000. A nivel general, la tasa de Lead a Reunión fué de 11,39%, superando el 8% esperado. 
El rubro con mejor rendimiento fué Carnicerías, que logró el mayor volumen de leads, con un CPL eficiente y una tasa de Lead a Reunión del 12,17%, por encima del objetivo. 
Se destaca el canal web, que a pesar de tener un bajo volumen de leads tienen una muy buena calidad, generando un 12% de tasa de Lead a Reunión.
Distribuidras fué el rubro más débil, con un CPL elevado de $9.352 y baja tasa de Lead a Turno 3,7%. </t>
  </si>
  <si>
    <t>Reuniones Agendadas</t>
  </si>
  <si>
    <t>Reuniones Efectivas</t>
  </si>
  <si>
    <t>LECTURAS SEMANA 2
Durante la segunda semana de Septiembre el CPL fue de $4.086, alineado al objetivo de $4.000 y mejorando respecto a la semana anterior. La tasa de Lead a Reunión se mantuvo en 10,84%, superando el 8% esperado.
El rubro con mejor rendimiento fué Fiambrerías, que alcanzó un CPL muy eficiente de $2.107 y una tasa de Lead a Reunión del 14,29%, la más alta del período.
Carnicerías también se destacó con el mayor volumen de leads y una tasa de Lead a Reunión de 10,69%, aunque con un CPL algo más elevado que la semana 1.
El canal web volvió a mostrar buena calidad, con un CPL de $4.027 y una tasa de Lead a Reunión de 8,11%.
El rubro más débil fué Corralones, con un CPL alto de $13.328 y baja tasa de Lead a Reunión del 4,76%</t>
  </si>
  <si>
    <t xml:space="preserve">LECTURAS SEMANA 3
Durante la tercera semana el CPL subió $5.066, por encima del objetivo de $4.000. La tasa de Lead a Reunión se mantuvo estable en 10,89%, superando nuevamente el 8% esperado.
Lo que mejor funciono fué Web, que logró un CPL muy eficiente de $2.625 y una tasa de Lead a Reunión de 10,71%, destacándose como el canal de mayor calidad.
Carnicerías aportó el mayor volumen de leads, aunque con un CPL más alto de $5.845 y una tasa de Lead a Reunión de 7,81%, por debajo de semanas anteriores.
Fiambrerías tuvieron un rendimiento sólido con un CPL de $4.799 y una tasa de Lead a Reunión de 11,43%.
El rubro más débil fue Distribuidoras, con un CPL de $6.242 y baja tasa de Lead a Reunión de 5,45%.
</t>
  </si>
  <si>
    <t xml:space="preserve">LECTURAS SEMANA 4
Durante la cuarta semana de Septiembre el CPL bajó a $4.747, mejorando frente a la semana anterior. La tasa de Lead a Reunión cayó a 7,79%, por debajo del 8% esperado.
Carnicerías continuó con el mayor volumen de leads (118), pero con un CPL de $6.530 y una tasa de Lead a Reunión en descenso (7,63%).
Corralones mostró un rendimiento intermedio, con un CPL de $7.709 y una tasa de Lead a Reunión de 16,28%, que marcó mejora en la calidad de leads.
Fiambrerías se mantuvo sólida, con un CPL de $4.041 y una tasa de Lead a Reunión más baja (4,65%) respecto de semanas anteriores.
Distribuidoras tuvo un CPL de $4.905 y una tasa de conversión de 6,67%, levemente mejor que la semana previa.
Canal Web mostró un CPL de $3.272 y una tasa de Lead a Reunión de 7,14%, sosteniendo un balance aceptable entre costo y calidad.
</t>
  </si>
  <si>
    <t>Desglose de canales</t>
  </si>
  <si>
    <t>01/08 al 07/08</t>
  </si>
  <si>
    <t>08/08 al 14/08</t>
  </si>
  <si>
    <t>15/08 al 21/08</t>
  </si>
  <si>
    <t>22/08 al 28/08</t>
  </si>
  <si>
    <t>29/08 al 31/08</t>
  </si>
  <si>
    <t xml:space="preserve">LECTURAS SEMANA 1
Durante la primera semana de Agosto el Costo por lead estuvo en $8,991, bastante por encima del objetivo de $4,100. Es importante remarcar que el 5/8 se realizó un cambio total de campañas por el bloqueo del numero, lo cual pudo haber impactado en el incremento de costos, ya que en los primeros días posteriores a una reestructuración las campañas pasan por un período de aprendizaje.
El rubro con mejor rendimiento fué Distribuidoras con un 7% de leads a reunión.
</t>
  </si>
  <si>
    <t xml:space="preserve">LECTURAS SEMANA 2
El Costo por lead bajó un 47% respecto a la semana pasada. Aunque todavía se mantiene un 12% por encima del objetivo, la tendencia es positiva: con menor inversión se generaron más leads y se mejoró la eficiencia. 
En el caso de Web, al estar haciendo campañas que optimizan por reuniones, la tasa de lead a reunión es altísima, el costo por lead bajó un 37% respecto a la semana 1. 
Carnicería tuvo un muy buen rendimiento logrando una tasa de 9,79% de lead a reunión, la mejor entre los demás rubros. 
</t>
  </si>
  <si>
    <t>CRP USD</t>
  </si>
  <si>
    <t xml:space="preserve">LECTURAS SEMANA 3
El Costo por Lead subió a $5.483, un 18% más alto que en la semana 2. Sin embargo, al mismo tiempo el % de leads a reunión aumentó del 9,25% al 12,44%, lo que indica que, aunque se pagó más por cada lead, los que ingresaron fueron de mejor calidad y con mayor probabilidad de concretar reuniones.
Dentro de los rubros, Web mantuvo una tasa muy alta con un 60% de leads convertidos en reuniones, mientras que Carnicería sobresalió nuevamente con un 12,94%.
El costo por lead bajó un 62% respecto a la semana 1. </t>
  </si>
  <si>
    <t>LECTURAS SEMANA 4</t>
  </si>
  <si>
    <t>Reuniones indefinido</t>
  </si>
  <si>
    <t>1/7 al 7/7</t>
  </si>
  <si>
    <t>08/07 al 14/07</t>
  </si>
  <si>
    <t>15/07 al 21/07</t>
  </si>
  <si>
    <t>22/07 al 28/07</t>
  </si>
  <si>
    <t>29/07 al 31/07</t>
  </si>
  <si>
    <t>LECTURAS SEMANA 1</t>
  </si>
  <si>
    <t>LECTURAS SEMANA 2</t>
  </si>
  <si>
    <t>LECTURAS SEMANA 3</t>
  </si>
  <si>
    <t>AUTOPARTES</t>
  </si>
  <si>
    <t>Reuniones google</t>
  </si>
  <si>
    <t>agosto</t>
  </si>
  <si>
    <t>08/08 al 15/08</t>
  </si>
  <si>
    <t>16/08 al 23/08</t>
  </si>
  <si>
    <t>23/08 al 31/08</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</si>
</sst>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 $]#,##0.00"/>
    <numFmt numFmtId="165" formatCode="[$USD $]#,##0.00"/>
    <numFmt numFmtId="166" formatCode="#,##0\ [$€-1]"/>
    <numFmt numFmtId="167" formatCode="[$ $]#,##0"/>
    <numFmt numFmtId="168" formatCode="#,##0.00\ [$€-1]"/>
    <numFmt numFmtId="169" formatCode="0.0"/>
    <numFmt numFmtId="170" formatCode="[$ $]#,##0.0"/>
    <numFmt numFmtId="171" formatCode="0.0%"/>
  </numFmts>
  <fonts count="14">
    <font>
      <sz val="10.0"/>
      <color rgb="FF000000"/>
      <name val="Arial"/>
      <scheme val="minor"/>
    </font>
    <font>
      <color theme="1"/>
      <name val="Arial"/>
      <scheme val="minor"/>
    </font>
    <font>
      <b/>
      <color rgb="FFFFFFFF"/>
      <name val="Arial"/>
      <scheme val="minor"/>
    </font>
    <font>
      <b/>
      <sz val="13.0"/>
      <color rgb="FFFFFFFF"/>
      <name val="Arial"/>
      <scheme val="minor"/>
    </font>
    <font>
      <b/>
      <color theme="1"/>
      <name val="Arial"/>
      <scheme val="minor"/>
    </font>
    <font>
      <b/>
      <sz val="12.0"/>
      <color rgb="FFFFFFFF"/>
      <name val="Arial"/>
      <scheme val="minor"/>
    </font>
    <font>
      <u/>
      <color theme="1"/>
      <name val="Arial"/>
      <scheme val="minor"/>
    </font>
    <font>
      <sz val="11.0"/>
      <color theme="1"/>
      <name val="Arial"/>
      <scheme val="minor"/>
    </font>
    <font/>
    <font>
      <b/>
      <color theme="1"/>
      <name val="Arial"/>
    </font>
    <font>
      <b/>
      <sz val="13.0"/>
      <color rgb="FFFFFFFF"/>
      <name val="Arial"/>
    </font>
    <font>
      <b/>
      <sz val="12.0"/>
      <color rgb="FFFFFFFF"/>
      <name val="Arial"/>
    </font>
    <font>
      <color theme="1"/>
      <name val="Arial"/>
    </font>
    <font>
      <u/>
      <sz val="11.0"/>
      <color rgb="FF0000FF"/>
    </font>
  </fonts>
  <fills count="23">
    <fill>
      <patternFill patternType="none"/>
    </fill>
    <fill>
      <patternFill patternType="lightGray"/>
    </fill>
    <fill>
      <patternFill patternType="solid">
        <fgColor rgb="FFCCCCCC"/>
        <bgColor rgb="FFCCCCCC"/>
      </patternFill>
    </fill>
    <fill>
      <patternFill patternType="solid">
        <fgColor theme="1"/>
        <bgColor theme="1"/>
      </patternFill>
    </fill>
    <fill>
      <patternFill patternType="solid">
        <fgColor rgb="FF000000"/>
        <bgColor rgb="FF000000"/>
      </patternFill>
    </fill>
    <fill>
      <patternFill patternType="solid">
        <fgColor theme="7"/>
        <bgColor theme="7"/>
      </patternFill>
    </fill>
    <fill>
      <patternFill patternType="solid">
        <fgColor theme="6"/>
        <bgColor theme="6"/>
      </patternFill>
    </fill>
    <fill>
      <patternFill patternType="solid">
        <fgColor theme="4"/>
        <bgColor theme="4"/>
      </patternFill>
    </fill>
    <fill>
      <patternFill patternType="solid">
        <fgColor rgb="FFD9EAD3"/>
        <bgColor rgb="FFD9EAD3"/>
      </patternFill>
    </fill>
    <fill>
      <patternFill patternType="solid">
        <fgColor rgb="FFFFF2CC"/>
        <bgColor rgb="FFFFF2CC"/>
      </patternFill>
    </fill>
    <fill>
      <patternFill patternType="solid">
        <fgColor rgb="FFD0E0E3"/>
        <bgColor rgb="FFD0E0E3"/>
      </patternFill>
    </fill>
    <fill>
      <patternFill patternType="solid">
        <fgColor theme="8"/>
        <bgColor theme="8"/>
      </patternFill>
    </fill>
    <fill>
      <patternFill patternType="solid">
        <fgColor rgb="FF666666"/>
        <bgColor rgb="FF666666"/>
      </patternFill>
    </fill>
    <fill>
      <patternFill patternType="solid">
        <fgColor rgb="FFFCE5CD"/>
        <bgColor rgb="FFFCE5CD"/>
      </patternFill>
    </fill>
    <fill>
      <patternFill patternType="solid">
        <fgColor rgb="FFB7B7B7"/>
        <bgColor rgb="FFB7B7B7"/>
      </patternFill>
    </fill>
    <fill>
      <patternFill patternType="solid">
        <fgColor theme="5"/>
        <bgColor theme="5"/>
      </patternFill>
    </fill>
    <fill>
      <patternFill patternType="solid">
        <fgColor theme="9"/>
        <bgColor theme="9"/>
      </patternFill>
    </fill>
    <fill>
      <patternFill patternType="solid">
        <fgColor rgb="FFF1C232"/>
        <bgColor rgb="FFF1C232"/>
      </patternFill>
    </fill>
    <fill>
      <patternFill patternType="solid">
        <fgColor rgb="FFA64D79"/>
        <bgColor rgb="FFA64D79"/>
      </patternFill>
    </fill>
    <fill>
      <patternFill patternType="solid">
        <fgColor rgb="FF34A853"/>
        <bgColor rgb="FF34A853"/>
      </patternFill>
    </fill>
    <fill>
      <patternFill patternType="solid">
        <fgColor rgb="FF4285F4"/>
        <bgColor rgb="FF4285F4"/>
      </patternFill>
    </fill>
    <fill>
      <patternFill patternType="solid">
        <fgColor rgb="FFFBBC04"/>
        <bgColor rgb="FFFBBC04"/>
      </patternFill>
    </fill>
    <fill>
      <patternFill patternType="solid">
        <fgColor rgb="FF6AA84F"/>
        <bgColor rgb="FF6AA84F"/>
      </patternFill>
    </fill>
  </fills>
  <borders count="10">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63">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2" fontId="1" numFmtId="164" xfId="0" applyAlignment="1" applyBorder="1" applyFont="1" applyNumberFormat="1">
      <alignment readingOrder="0"/>
    </xf>
    <xf borderId="0" fillId="2" fontId="1" numFmtId="164" xfId="0" applyAlignment="1" applyFont="1" applyNumberFormat="1">
      <alignment readingOrder="0"/>
    </xf>
    <xf borderId="0" fillId="3" fontId="2" numFmtId="0" xfId="0" applyAlignment="1" applyFill="1" applyFont="1">
      <alignment horizontal="center" readingOrder="0"/>
    </xf>
    <xf borderId="0" fillId="0" fontId="1" numFmtId="0" xfId="0" applyAlignment="1" applyFont="1">
      <alignment readingOrder="0"/>
    </xf>
    <xf borderId="1" fillId="4" fontId="3" numFmtId="0" xfId="0" applyAlignment="1" applyBorder="1" applyFill="1" applyFont="1">
      <alignment horizontal="center" readingOrder="0"/>
    </xf>
    <xf borderId="1" fillId="0" fontId="4" numFmtId="0" xfId="0" applyAlignment="1" applyBorder="1" applyFont="1">
      <alignment horizontal="center" readingOrder="0" vertical="center"/>
    </xf>
    <xf borderId="1" fillId="5" fontId="3" numFmtId="0" xfId="0" applyAlignment="1" applyBorder="1" applyFill="1" applyFont="1">
      <alignment horizontal="center" readingOrder="0"/>
    </xf>
    <xf borderId="1" fillId="6" fontId="3" numFmtId="0" xfId="0" applyAlignment="1" applyBorder="1" applyFill="1" applyFont="1">
      <alignment horizontal="center" readingOrder="0"/>
    </xf>
    <xf borderId="1" fillId="7" fontId="5" numFmtId="0" xfId="0" applyAlignment="1" applyBorder="1" applyFill="1" applyFont="1">
      <alignment horizontal="center" readingOrder="0"/>
    </xf>
    <xf borderId="1" fillId="0" fontId="1" numFmtId="164" xfId="0" applyAlignment="1" applyBorder="1" applyFont="1" applyNumberFormat="1">
      <alignment readingOrder="0"/>
    </xf>
    <xf borderId="1" fillId="0" fontId="1" numFmtId="164" xfId="0" applyBorder="1" applyFont="1" applyNumberFormat="1"/>
    <xf borderId="1" fillId="8" fontId="1" numFmtId="164" xfId="0" applyBorder="1" applyFill="1" applyFont="1" applyNumberFormat="1"/>
    <xf borderId="1" fillId="9" fontId="1" numFmtId="164" xfId="0" applyAlignment="1" applyBorder="1" applyFill="1" applyFont="1" applyNumberFormat="1">
      <alignment readingOrder="0"/>
    </xf>
    <xf borderId="1" fillId="9" fontId="1" numFmtId="164" xfId="0" applyAlignment="1" applyBorder="1" applyFont="1" applyNumberFormat="1">
      <alignment horizontal="right" readingOrder="0"/>
    </xf>
    <xf borderId="1" fillId="10" fontId="1" numFmtId="165" xfId="0" applyAlignment="1" applyBorder="1" applyFill="1" applyFont="1" applyNumberFormat="1">
      <alignment readingOrder="0"/>
    </xf>
    <xf borderId="1" fillId="8" fontId="1" numFmtId="165" xfId="0" applyBorder="1" applyFont="1" applyNumberFormat="1"/>
    <xf borderId="1" fillId="9" fontId="1" numFmtId="165" xfId="0" applyBorder="1" applyFont="1" applyNumberFormat="1"/>
    <xf borderId="1" fillId="9" fontId="1" numFmtId="165" xfId="0" applyBorder="1" applyFont="1" applyNumberFormat="1"/>
    <xf borderId="1" fillId="0" fontId="1" numFmtId="0" xfId="0" applyAlignment="1" applyBorder="1" applyFont="1">
      <alignment readingOrder="0"/>
    </xf>
    <xf borderId="1" fillId="0" fontId="1" numFmtId="0" xfId="0" applyBorder="1" applyFont="1"/>
    <xf borderId="1" fillId="8" fontId="1" numFmtId="0" xfId="0" applyBorder="1" applyFont="1"/>
    <xf borderId="1" fillId="9" fontId="1" numFmtId="1" xfId="0" applyAlignment="1" applyBorder="1" applyFont="1" applyNumberFormat="1">
      <alignment readingOrder="0"/>
    </xf>
    <xf borderId="1" fillId="9" fontId="1" numFmtId="1" xfId="0" applyAlignment="1" applyBorder="1" applyFont="1" applyNumberFormat="1">
      <alignment horizontal="right" readingOrder="0"/>
    </xf>
    <xf borderId="1" fillId="9" fontId="1" numFmtId="164" xfId="0" applyBorder="1" applyFont="1" applyNumberFormat="1"/>
    <xf borderId="1" fillId="9" fontId="1" numFmtId="10" xfId="0" applyAlignment="1" applyBorder="1" applyFont="1" applyNumberFormat="1">
      <alignment horizontal="right" readingOrder="0"/>
    </xf>
    <xf borderId="1" fillId="0" fontId="1" numFmtId="10" xfId="0" applyBorder="1" applyFont="1" applyNumberFormat="1"/>
    <xf borderId="1" fillId="8" fontId="1" numFmtId="10" xfId="0" applyBorder="1" applyFont="1" applyNumberFormat="1"/>
    <xf borderId="1" fillId="9" fontId="1" numFmtId="10" xfId="0" applyAlignment="1" applyBorder="1" applyFont="1" applyNumberFormat="1">
      <alignment readingOrder="0"/>
    </xf>
    <xf borderId="1" fillId="8" fontId="1" numFmtId="2" xfId="0" applyBorder="1" applyFont="1" applyNumberFormat="1"/>
    <xf borderId="1" fillId="9" fontId="1" numFmtId="0" xfId="0" applyBorder="1" applyFont="1"/>
    <xf borderId="1" fillId="8" fontId="1" numFmtId="0" xfId="0" applyAlignment="1" applyBorder="1" applyFont="1">
      <alignment readingOrder="0"/>
    </xf>
    <xf borderId="0" fillId="0" fontId="1" numFmtId="0" xfId="0" applyAlignment="1" applyFont="1">
      <alignment readingOrder="0" shrinkToFit="0" wrapText="1"/>
    </xf>
    <xf borderId="0" fillId="0" fontId="6" numFmtId="0" xfId="0" applyAlignment="1" applyFont="1">
      <alignment readingOrder="0" shrinkToFit="0" wrapText="1"/>
    </xf>
    <xf borderId="0" fillId="0" fontId="1" numFmtId="166" xfId="0" applyFont="1" applyNumberFormat="1"/>
    <xf borderId="0" fillId="0" fontId="1" numFmtId="167" xfId="0" applyFont="1" applyNumberFormat="1"/>
    <xf borderId="0" fillId="0" fontId="1" numFmtId="164" xfId="0" applyFont="1" applyNumberFormat="1"/>
    <xf borderId="0" fillId="0" fontId="1" numFmtId="168" xfId="0" applyFont="1" applyNumberFormat="1"/>
    <xf borderId="1" fillId="2" fontId="1" numFmtId="164" xfId="0" applyAlignment="1" applyBorder="1" applyFont="1" applyNumberFormat="1">
      <alignment readingOrder="0" vertical="center"/>
    </xf>
    <xf borderId="0" fillId="0" fontId="1" numFmtId="0" xfId="0" applyAlignment="1" applyFont="1">
      <alignment vertical="center"/>
    </xf>
    <xf borderId="1" fillId="7" fontId="3" numFmtId="0" xfId="0" applyAlignment="1" applyBorder="1" applyFont="1">
      <alignment horizontal="center" readingOrder="0" vertical="center"/>
    </xf>
    <xf borderId="1" fillId="7" fontId="3" numFmtId="9" xfId="0" applyAlignment="1" applyBorder="1" applyFont="1" applyNumberFormat="1">
      <alignment horizontal="center" readingOrder="0" vertical="center"/>
    </xf>
    <xf borderId="0" fillId="3" fontId="2" numFmtId="0" xfId="0" applyAlignment="1" applyFont="1">
      <alignment horizontal="center" readingOrder="0" vertical="center"/>
    </xf>
    <xf borderId="1" fillId="5" fontId="3" numFmtId="0" xfId="0" applyAlignment="1" applyBorder="1" applyFont="1">
      <alignment horizontal="center" readingOrder="0" vertical="center"/>
    </xf>
    <xf borderId="1" fillId="6" fontId="3" numFmtId="0" xfId="0" applyAlignment="1" applyBorder="1" applyFont="1">
      <alignment horizontal="center" readingOrder="0" vertical="center"/>
    </xf>
    <xf borderId="1" fillId="11" fontId="3" numFmtId="0" xfId="0" applyAlignment="1" applyBorder="1" applyFill="1" applyFont="1">
      <alignment horizontal="center" readingOrder="0" vertical="center"/>
    </xf>
    <xf borderId="1" fillId="12" fontId="3" numFmtId="0" xfId="0" applyAlignment="1" applyBorder="1" applyFill="1" applyFont="1">
      <alignment horizontal="center" readingOrder="0" vertical="center"/>
    </xf>
    <xf borderId="2" fillId="0" fontId="7" numFmtId="0" xfId="0" applyAlignment="1" applyBorder="1" applyFont="1">
      <alignment readingOrder="0" shrinkToFit="0" vertical="center" wrapText="1"/>
    </xf>
    <xf borderId="3" fillId="0" fontId="8" numFmtId="0" xfId="0" applyBorder="1" applyFont="1"/>
    <xf borderId="4" fillId="0" fontId="8" numFmtId="0" xfId="0" applyBorder="1" applyFont="1"/>
    <xf borderId="1" fillId="7" fontId="5" numFmtId="0" xfId="0" applyAlignment="1" applyBorder="1" applyFont="1">
      <alignment horizontal="center" readingOrder="0" vertical="center"/>
    </xf>
    <xf borderId="1" fillId="0" fontId="1" numFmtId="167" xfId="0" applyAlignment="1" applyBorder="1" applyFont="1" applyNumberFormat="1">
      <alignment readingOrder="0" vertical="center"/>
    </xf>
    <xf borderId="1" fillId="8" fontId="1" numFmtId="167" xfId="0" applyAlignment="1" applyBorder="1" applyFont="1" applyNumberFormat="1">
      <alignment vertical="center"/>
    </xf>
    <xf borderId="1" fillId="9" fontId="1" numFmtId="164" xfId="0" applyAlignment="1" applyBorder="1" applyFont="1" applyNumberFormat="1">
      <alignment readingOrder="0" vertical="center"/>
    </xf>
    <xf borderId="1" fillId="13" fontId="1" numFmtId="10" xfId="0" applyAlignment="1" applyBorder="1" applyFill="1" applyFont="1" applyNumberFormat="1">
      <alignment vertical="center"/>
    </xf>
    <xf borderId="1" fillId="14" fontId="1" numFmtId="164" xfId="0" applyAlignment="1" applyBorder="1" applyFill="1" applyFont="1" applyNumberFormat="1">
      <alignment readingOrder="0" vertical="center"/>
    </xf>
    <xf borderId="5" fillId="0" fontId="8" numFmtId="0" xfId="0" applyBorder="1" applyFont="1"/>
    <xf borderId="6" fillId="0" fontId="8" numFmtId="0" xfId="0" applyBorder="1" applyFont="1"/>
    <xf borderId="1" fillId="10" fontId="1" numFmtId="165" xfId="0" applyAlignment="1" applyBorder="1" applyFont="1" applyNumberFormat="1">
      <alignment readingOrder="0" vertical="center"/>
    </xf>
    <xf borderId="1" fillId="8" fontId="1" numFmtId="165" xfId="0" applyAlignment="1" applyBorder="1" applyFont="1" applyNumberFormat="1">
      <alignment vertical="center"/>
    </xf>
    <xf borderId="1" fillId="9" fontId="1" numFmtId="165" xfId="0" applyAlignment="1" applyBorder="1" applyFont="1" applyNumberFormat="1">
      <alignment vertical="center"/>
    </xf>
    <xf borderId="1" fillId="14" fontId="1" numFmtId="165" xfId="0" applyAlignment="1" applyBorder="1" applyFont="1" applyNumberFormat="1">
      <alignment vertical="center"/>
    </xf>
    <xf borderId="1" fillId="0" fontId="1" numFmtId="0" xfId="0" applyAlignment="1" applyBorder="1" applyFont="1">
      <alignment readingOrder="0" vertical="center"/>
    </xf>
    <xf borderId="1" fillId="8" fontId="1" numFmtId="0" xfId="0" applyAlignment="1" applyBorder="1" applyFont="1">
      <alignment vertical="center"/>
    </xf>
    <xf borderId="1" fillId="9" fontId="1" numFmtId="1" xfId="0" applyAlignment="1" applyBorder="1" applyFont="1" applyNumberFormat="1">
      <alignment readingOrder="0" vertical="center"/>
    </xf>
    <xf borderId="1" fillId="14" fontId="1" numFmtId="1" xfId="0" applyAlignment="1" applyBorder="1" applyFont="1" applyNumberFormat="1">
      <alignment vertical="center"/>
    </xf>
    <xf borderId="1" fillId="0" fontId="1" numFmtId="164" xfId="0" applyAlignment="1" applyBorder="1" applyFont="1" applyNumberFormat="1">
      <alignment readingOrder="0" vertical="center"/>
    </xf>
    <xf borderId="1" fillId="0" fontId="1" numFmtId="167" xfId="0" applyAlignment="1" applyBorder="1" applyFont="1" applyNumberFormat="1">
      <alignment vertical="center"/>
    </xf>
    <xf borderId="1" fillId="0" fontId="1" numFmtId="0" xfId="0" applyAlignment="1" applyBorder="1" applyFont="1">
      <alignment vertical="center"/>
    </xf>
    <xf borderId="1" fillId="9" fontId="1" numFmtId="164" xfId="0" applyAlignment="1" applyBorder="1" applyFont="1" applyNumberFormat="1">
      <alignment vertical="center"/>
    </xf>
    <xf borderId="1" fillId="14" fontId="1" numFmtId="164" xfId="0" applyAlignment="1" applyBorder="1" applyFont="1" applyNumberFormat="1">
      <alignment vertical="center"/>
    </xf>
    <xf borderId="1" fillId="13" fontId="1" numFmtId="0" xfId="0" applyAlignment="1" applyBorder="1" applyFont="1">
      <alignment vertical="center"/>
    </xf>
    <xf borderId="1" fillId="14" fontId="1" numFmtId="10" xfId="0" applyAlignment="1" applyBorder="1" applyFont="1" applyNumberFormat="1">
      <alignment readingOrder="0" vertical="center"/>
    </xf>
    <xf borderId="1" fillId="0" fontId="1" numFmtId="10" xfId="0" applyAlignment="1" applyBorder="1" applyFont="1" applyNumberFormat="1">
      <alignment vertical="center"/>
    </xf>
    <xf borderId="1" fillId="8" fontId="1" numFmtId="10" xfId="0" applyAlignment="1" applyBorder="1" applyFont="1" applyNumberFormat="1">
      <alignment vertical="center"/>
    </xf>
    <xf borderId="1" fillId="9" fontId="1" numFmtId="10" xfId="0" applyAlignment="1" applyBorder="1" applyFont="1" applyNumberFormat="1">
      <alignment readingOrder="0" vertical="center"/>
    </xf>
    <xf borderId="1" fillId="8" fontId="1" numFmtId="164" xfId="0" applyAlignment="1" applyBorder="1" applyFont="1" applyNumberFormat="1">
      <alignment vertical="center"/>
    </xf>
    <xf borderId="1" fillId="9" fontId="1" numFmtId="0" xfId="0" applyAlignment="1" applyBorder="1" applyFont="1">
      <alignment vertical="center"/>
    </xf>
    <xf borderId="1" fillId="14" fontId="1" numFmtId="169" xfId="0" applyAlignment="1" applyBorder="1" applyFont="1" applyNumberFormat="1">
      <alignment vertical="center"/>
    </xf>
    <xf borderId="1" fillId="14" fontId="1" numFmtId="10" xfId="0" applyAlignment="1" applyBorder="1" applyFont="1" applyNumberFormat="1">
      <alignment vertical="center"/>
    </xf>
    <xf borderId="7" fillId="0" fontId="8" numFmtId="0" xfId="0" applyBorder="1" applyFont="1"/>
    <xf borderId="8" fillId="0" fontId="8" numFmtId="0" xfId="0" applyBorder="1" applyFont="1"/>
    <xf borderId="9" fillId="0" fontId="8" numFmtId="0" xfId="0" applyBorder="1" applyFont="1"/>
    <xf borderId="0" fillId="11" fontId="2" numFmtId="0" xfId="0" applyAlignment="1" applyFont="1">
      <alignment horizontal="center" readingOrder="0" vertical="center"/>
    </xf>
    <xf borderId="1" fillId="9" fontId="1" numFmtId="164" xfId="0" applyAlignment="1" applyBorder="1" applyFont="1" applyNumberFormat="1">
      <alignment readingOrder="0" vertical="center"/>
    </xf>
    <xf borderId="0" fillId="0" fontId="1" numFmtId="164" xfId="0" applyAlignment="1" applyFont="1" applyNumberFormat="1">
      <alignment vertical="center"/>
    </xf>
    <xf borderId="1" fillId="9" fontId="1" numFmtId="165" xfId="0" applyAlignment="1" applyBorder="1" applyFont="1" applyNumberFormat="1">
      <alignment vertical="center"/>
    </xf>
    <xf borderId="1" fillId="14" fontId="1" numFmtId="165" xfId="0" applyAlignment="1" applyBorder="1" applyFont="1" applyNumberFormat="1">
      <alignment vertical="center"/>
    </xf>
    <xf borderId="0" fillId="0" fontId="1" numFmtId="10" xfId="0" applyAlignment="1" applyFont="1" applyNumberFormat="1">
      <alignment vertical="center"/>
    </xf>
    <xf borderId="1" fillId="0" fontId="1" numFmtId="164" xfId="0" applyAlignment="1" applyBorder="1" applyFont="1" applyNumberFormat="1">
      <alignment vertical="center"/>
    </xf>
    <xf borderId="1" fillId="9" fontId="1" numFmtId="164" xfId="0" applyAlignment="1" applyBorder="1" applyFont="1" applyNumberFormat="1">
      <alignment vertical="center"/>
    </xf>
    <xf borderId="1" fillId="9" fontId="1" numFmtId="10" xfId="0" applyAlignment="1" applyBorder="1" applyFont="1" applyNumberFormat="1">
      <alignment vertical="center"/>
    </xf>
    <xf borderId="1" fillId="14" fontId="1" numFmtId="0" xfId="0" applyAlignment="1" applyBorder="1" applyFont="1">
      <alignment vertical="center"/>
    </xf>
    <xf borderId="0" fillId="15" fontId="2" numFmtId="0" xfId="0" applyAlignment="1" applyFill="1" applyFont="1">
      <alignment horizontal="center" readingOrder="0" vertical="center"/>
    </xf>
    <xf borderId="2" fillId="0" fontId="7" numFmtId="0" xfId="0" applyAlignment="1" applyBorder="1" applyFont="1">
      <alignment readingOrder="0" shrinkToFit="0" vertical="center" wrapText="1"/>
    </xf>
    <xf borderId="0" fillId="16" fontId="2" numFmtId="0" xfId="0" applyAlignment="1" applyFill="1" applyFont="1">
      <alignment horizontal="center" readingOrder="0" vertical="center"/>
    </xf>
    <xf borderId="0" fillId="17" fontId="2" numFmtId="0" xfId="0" applyAlignment="1" applyFill="1" applyFont="1">
      <alignment horizontal="center" readingOrder="0" vertical="center"/>
    </xf>
    <xf borderId="1" fillId="9" fontId="1" numFmtId="0" xfId="0" applyAlignment="1" applyBorder="1" applyFont="1">
      <alignment readingOrder="0" vertical="center"/>
    </xf>
    <xf borderId="0" fillId="18" fontId="2" numFmtId="0" xfId="0" applyAlignment="1" applyFill="1" applyFont="1">
      <alignment horizontal="center" readingOrder="0" vertical="center"/>
    </xf>
    <xf borderId="1" fillId="0" fontId="9" numFmtId="0" xfId="0" applyAlignment="1" applyBorder="1" applyFont="1">
      <alignment horizontal="center" readingOrder="0" vertical="center"/>
    </xf>
    <xf borderId="1" fillId="19" fontId="10" numFmtId="0" xfId="0" applyAlignment="1" applyBorder="1" applyFill="1" applyFont="1">
      <alignment horizontal="center" vertical="center"/>
    </xf>
    <xf borderId="1" fillId="19" fontId="10" numFmtId="0" xfId="0" applyAlignment="1" applyBorder="1" applyFont="1">
      <alignment horizontal="center" readingOrder="0" vertical="center"/>
    </xf>
    <xf borderId="1" fillId="20" fontId="11" numFmtId="0" xfId="0" applyAlignment="1" applyBorder="1" applyFill="1" applyFont="1">
      <alignment horizontal="center" vertical="center"/>
    </xf>
    <xf borderId="1" fillId="0" fontId="12" numFmtId="164" xfId="0" applyAlignment="1" applyBorder="1" applyFont="1" applyNumberFormat="1">
      <alignment horizontal="right" vertical="bottom"/>
    </xf>
    <xf borderId="1" fillId="8" fontId="12" numFmtId="164" xfId="0" applyAlignment="1" applyBorder="1" applyFont="1" applyNumberFormat="1">
      <alignment horizontal="right" vertical="center"/>
    </xf>
    <xf borderId="1" fillId="0" fontId="12" numFmtId="164" xfId="0" applyAlignment="1" applyBorder="1" applyFont="1" applyNumberFormat="1">
      <alignment horizontal="right" vertical="center"/>
    </xf>
    <xf borderId="1" fillId="0" fontId="12" numFmtId="10" xfId="0" applyAlignment="1" applyBorder="1" applyFont="1" applyNumberFormat="1">
      <alignment horizontal="right" vertical="center"/>
    </xf>
    <xf borderId="1" fillId="8" fontId="12" numFmtId="10" xfId="0" applyAlignment="1" applyBorder="1" applyFont="1" applyNumberFormat="1">
      <alignment horizontal="right" vertical="center"/>
    </xf>
    <xf borderId="1" fillId="8" fontId="12" numFmtId="170" xfId="0" applyAlignment="1" applyBorder="1" applyFont="1" applyNumberFormat="1">
      <alignment horizontal="right" vertical="center"/>
    </xf>
    <xf borderId="1" fillId="0" fontId="12" numFmtId="1" xfId="0" applyAlignment="1" applyBorder="1" applyFont="1" applyNumberFormat="1">
      <alignment horizontal="right" vertical="center"/>
    </xf>
    <xf borderId="1" fillId="0" fontId="12" numFmtId="1" xfId="0" applyAlignment="1" applyBorder="1" applyFont="1" applyNumberFormat="1">
      <alignment horizontal="right" readingOrder="0" vertical="center"/>
    </xf>
    <xf borderId="1" fillId="8" fontId="12" numFmtId="1" xfId="0" applyAlignment="1" applyBorder="1" applyFont="1" applyNumberFormat="1">
      <alignment horizontal="right" vertical="center"/>
    </xf>
    <xf borderId="1" fillId="0" fontId="12" numFmtId="9" xfId="0" applyAlignment="1" applyBorder="1" applyFont="1" applyNumberFormat="1">
      <alignment horizontal="right" vertical="bottom"/>
    </xf>
    <xf borderId="1" fillId="0" fontId="12" numFmtId="9" xfId="0" applyAlignment="1" applyBorder="1" applyFont="1" applyNumberFormat="1">
      <alignment horizontal="right" readingOrder="0" vertical="bottom"/>
    </xf>
    <xf borderId="1" fillId="8" fontId="1" numFmtId="0" xfId="0" applyAlignment="1" applyBorder="1" applyFont="1">
      <alignment readingOrder="0" vertical="center"/>
    </xf>
    <xf borderId="1" fillId="0" fontId="9" numFmtId="0" xfId="0" applyAlignment="1" applyBorder="1" applyFont="1">
      <alignment horizontal="center" vertical="center"/>
    </xf>
    <xf borderId="1" fillId="0" fontId="12" numFmtId="9" xfId="0" applyAlignment="1" applyBorder="1" applyFont="1" applyNumberFormat="1">
      <alignment horizontal="right" vertical="center"/>
    </xf>
    <xf borderId="1" fillId="7" fontId="3" numFmtId="0" xfId="0" applyAlignment="1" applyBorder="1" applyFont="1">
      <alignment horizontal="center" readingOrder="0"/>
    </xf>
    <xf borderId="1" fillId="7" fontId="3" numFmtId="9" xfId="0" applyAlignment="1" applyBorder="1" applyFont="1" applyNumberFormat="1">
      <alignment horizontal="center" readingOrder="0"/>
    </xf>
    <xf borderId="1" fillId="11" fontId="3" numFmtId="0" xfId="0" applyAlignment="1" applyBorder="1" applyFont="1">
      <alignment horizontal="center" readingOrder="0"/>
    </xf>
    <xf borderId="1" fillId="12" fontId="3" numFmtId="0" xfId="0" applyAlignment="1" applyBorder="1" applyFont="1">
      <alignment horizontal="center" readingOrder="0"/>
    </xf>
    <xf borderId="2" fillId="0" fontId="13" numFmtId="0" xfId="0" applyAlignment="1" applyBorder="1" applyFont="1">
      <alignment readingOrder="0" shrinkToFit="0" vertical="top" wrapText="1"/>
    </xf>
    <xf borderId="1" fillId="13" fontId="1" numFmtId="10" xfId="0" applyBorder="1" applyFont="1" applyNumberFormat="1"/>
    <xf borderId="1" fillId="14" fontId="1" numFmtId="164" xfId="0" applyAlignment="1" applyBorder="1" applyFont="1" applyNumberFormat="1">
      <alignment readingOrder="0"/>
    </xf>
    <xf borderId="1" fillId="14" fontId="1" numFmtId="165" xfId="0" applyBorder="1" applyFont="1" applyNumberFormat="1"/>
    <xf borderId="1" fillId="9" fontId="1" numFmtId="1" xfId="0" applyBorder="1" applyFont="1" applyNumberFormat="1"/>
    <xf borderId="1" fillId="14" fontId="1" numFmtId="1" xfId="0" applyBorder="1" applyFont="1" applyNumberFormat="1"/>
    <xf borderId="1" fillId="14" fontId="1" numFmtId="164" xfId="0" applyBorder="1" applyFont="1" applyNumberFormat="1"/>
    <xf borderId="1" fillId="13" fontId="1" numFmtId="0" xfId="0" applyBorder="1" applyFont="1"/>
    <xf borderId="1" fillId="14" fontId="1" numFmtId="10" xfId="0" applyAlignment="1" applyBorder="1" applyFont="1" applyNumberFormat="1">
      <alignment readingOrder="0"/>
    </xf>
    <xf borderId="1" fillId="14" fontId="1" numFmtId="169" xfId="0" applyBorder="1" applyFont="1" applyNumberFormat="1"/>
    <xf borderId="1" fillId="14" fontId="1" numFmtId="10" xfId="0" applyBorder="1" applyFont="1" applyNumberFormat="1"/>
    <xf borderId="0" fillId="11" fontId="2" numFmtId="0" xfId="0" applyAlignment="1" applyFont="1">
      <alignment horizontal="center" readingOrder="0"/>
    </xf>
    <xf borderId="1" fillId="9" fontId="1" numFmtId="164" xfId="0" applyAlignment="1" applyBorder="1" applyFont="1" applyNumberFormat="1">
      <alignment readingOrder="0"/>
    </xf>
    <xf borderId="1" fillId="14" fontId="1" numFmtId="165" xfId="0" applyBorder="1" applyFont="1" applyNumberFormat="1"/>
    <xf borderId="1" fillId="9" fontId="1" numFmtId="164" xfId="0" applyBorder="1" applyFont="1" applyNumberFormat="1"/>
    <xf borderId="1" fillId="9" fontId="1" numFmtId="10" xfId="0" applyBorder="1" applyFont="1" applyNumberFormat="1"/>
    <xf borderId="1" fillId="14" fontId="1" numFmtId="0" xfId="0" applyBorder="1" applyFont="1"/>
    <xf borderId="0" fillId="15" fontId="2" numFmtId="0" xfId="0" applyAlignment="1" applyFont="1">
      <alignment horizontal="center" readingOrder="0"/>
    </xf>
    <xf borderId="2" fillId="0" fontId="7" numFmtId="0" xfId="0" applyAlignment="1" applyBorder="1" applyFont="1">
      <alignment readingOrder="0" shrinkToFit="0" vertical="top" wrapText="1"/>
    </xf>
    <xf borderId="0" fillId="16" fontId="2" numFmtId="0" xfId="0" applyAlignment="1" applyFont="1">
      <alignment horizontal="center" readingOrder="0"/>
    </xf>
    <xf borderId="0" fillId="17" fontId="2" numFmtId="0" xfId="0" applyAlignment="1" applyFont="1">
      <alignment horizontal="center" readingOrder="0"/>
    </xf>
    <xf borderId="1" fillId="9" fontId="1" numFmtId="0" xfId="0" applyAlignment="1" applyBorder="1" applyFont="1">
      <alignment readingOrder="0"/>
    </xf>
    <xf borderId="0" fillId="18" fontId="2" numFmtId="0" xfId="0" applyAlignment="1" applyFont="1">
      <alignment horizontal="center" readingOrder="0"/>
    </xf>
    <xf borderId="1" fillId="21" fontId="10" numFmtId="0" xfId="0" applyAlignment="1" applyBorder="1" applyFill="1" applyFont="1">
      <alignment horizontal="center" vertical="bottom"/>
    </xf>
    <xf borderId="1" fillId="19" fontId="10" numFmtId="0" xfId="0" applyAlignment="1" applyBorder="1" applyFont="1">
      <alignment horizontal="center" vertical="bottom"/>
    </xf>
    <xf borderId="1" fillId="20" fontId="11" numFmtId="0" xfId="0" applyAlignment="1" applyBorder="1" applyFont="1">
      <alignment horizontal="center" vertical="bottom"/>
    </xf>
    <xf borderId="1" fillId="8" fontId="12" numFmtId="164" xfId="0" applyAlignment="1" applyBorder="1" applyFont="1" applyNumberFormat="1">
      <alignment horizontal="right" vertical="bottom"/>
    </xf>
    <xf borderId="1" fillId="0" fontId="12" numFmtId="10" xfId="0" applyAlignment="1" applyBorder="1" applyFont="1" applyNumberFormat="1">
      <alignment horizontal="right" vertical="bottom"/>
    </xf>
    <xf borderId="1" fillId="8" fontId="12" numFmtId="10" xfId="0" applyAlignment="1" applyBorder="1" applyFont="1" applyNumberFormat="1">
      <alignment horizontal="right" vertical="bottom"/>
    </xf>
    <xf borderId="1" fillId="8" fontId="12" numFmtId="170" xfId="0" applyAlignment="1" applyBorder="1" applyFont="1" applyNumberFormat="1">
      <alignment horizontal="right" vertical="bottom"/>
    </xf>
    <xf borderId="1" fillId="0" fontId="12" numFmtId="1" xfId="0" applyAlignment="1" applyBorder="1" applyFont="1" applyNumberFormat="1">
      <alignment horizontal="right" vertical="bottom"/>
    </xf>
    <xf borderId="1" fillId="8" fontId="12" numFmtId="1" xfId="0" applyAlignment="1" applyBorder="1" applyFont="1" applyNumberFormat="1">
      <alignment horizontal="right" vertical="bottom"/>
    </xf>
    <xf borderId="0" fillId="22" fontId="2" numFmtId="0" xfId="0" applyAlignment="1" applyFill="1" applyFont="1">
      <alignment horizontal="center" readingOrder="0"/>
    </xf>
    <xf borderId="1" fillId="14" fontId="1" numFmtId="1" xfId="0" applyAlignment="1" applyBorder="1" applyFont="1" applyNumberFormat="1">
      <alignment readingOrder="0"/>
    </xf>
    <xf borderId="1" fillId="0" fontId="12" numFmtId="164" xfId="0" applyAlignment="1" applyBorder="1" applyFont="1" applyNumberFormat="1">
      <alignment vertical="bottom"/>
    </xf>
    <xf borderId="1" fillId="0" fontId="12" numFmtId="1" xfId="0" applyAlignment="1" applyBorder="1" applyFont="1" applyNumberFormat="1">
      <alignment vertical="bottom"/>
    </xf>
    <xf borderId="1" fillId="0" fontId="12" numFmtId="171" xfId="0" applyAlignment="1" applyBorder="1" applyFont="1" applyNumberFormat="1">
      <alignment horizontal="right" vertical="bottom"/>
    </xf>
    <xf borderId="1" fillId="0" fontId="12" numFmtId="0" xfId="0" applyAlignment="1" applyBorder="1" applyFont="1">
      <alignment vertical="bottom"/>
    </xf>
    <xf borderId="1" fillId="9" fontId="1" numFmtId="9" xfId="0" applyAlignment="1" applyBorder="1" applyFont="1" applyNumberFormat="1">
      <alignment readingOrder="0"/>
    </xf>
    <xf borderId="2" fillId="0" fontId="7" numFmtId="0" xfId="0" applyAlignment="1" applyBorder="1" applyFont="1">
      <alignment readingOrder="0" vertical="top"/>
    </xf>
    <xf borderId="2" fillId="0" fontId="1" numFmtId="0" xfId="0" applyAlignment="1" applyBorder="1" applyFont="1">
      <alignment readingOrder="0" vertical="top"/>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SDuNLWuL9E_l-ciYhn6KK4817hTxD7DGphzds8JxPNE/edit?gid=0"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youtube.com/watch?v=YyILWl6Z17k" TargetMode="External"/><Relationship Id="rId2" Type="http://schemas.openxmlformats.org/officeDocument/2006/relationships/hyperlink" Target="https://video-eze1-1.xx.fbcdn.net/o1/v/t2/f2/m366/AQNpOvVZhfJ4ExXpQSfAzMi26ZjjYleNVgUTKh-dKVszBt_jZm6tj0nVur21ZCqHscJWyqv6jeMj0FOLxXGS7QauhL3eZ_3bTowofr1uKXKq5A.mp4?_nc_cat=105&amp;_nc_sid=5e9851&amp;_nc_ht=video-eze1-1.xx.fbcdn.net&amp;_nc_ohc=jiFhdDZVYz4Q7kNvwGdXfqU&amp;efg=eyJ2ZW5jb2RlX3RhZyI6Inhwdl9wcm9ncmVzc2l2ZS5GQUNFQk9PSy4uQzMuNzIwLmRhc2hfaDI2NC1iYXNpYy1nZW4yXzcyMHAiLCJ4cHZfYXNzZXRfaWQiOjIyNjg0OTc4MzAyNDU5NTksInZpX3VzZWNhc2VfaWQiOjEwNzk5LCJkdXJhdGlvbl9zIjo0NywidXJsZ2VuX3NvdXJjZSI6Ind3dyJ9&amp;ccb=17-1&amp;vs=213e6bbbca26ec88&amp;_nc_vs=HBksFQIYRWZiX2VwaGVtZXJhbC85RjQ5NTg4OUMwRDFCNjRDQzY0OTVDN0YzRTk5QTRBOV9tdF8xX3ZpZGVvX2Rhc2hpbml0Lm1wNBUAAsgBEgAVAhhFZmJfZXBoZW1lcmFsL0YwNEZDQkMxQjc2RTQwQjVFN0IyMDM1NjMwREVGMzk5X210XzBfYXVkaW9fZGFzaGluaXQubXA0FQICyAESACgAGAAbAogHdXNlX29pbAExEnByb2dyZXNzaXZlX3JlY2lwZQExFQAAJo7Zw_X5y4cIFQIoAkMzLBdAR_qfvnbItBgZZGFzaF9oMjY0LWJhc2ljLWdlbjJfNzIwcBEAdQJl3qgBAA&amp;_nc_gid=7WjhA9oHDi7cxCyj--xL5g&amp;_nc_zt=28&amp;oh=00_Afd2Hx-dxyAxqNaeu8DpG7AGop29TPeY4TK5VLKEPRCa1Q&amp;oe=6907F94B&amp;bitrate=1962766&amp;tag=dash_h264-basic-gen2_720p" TargetMode="External"/><Relationship Id="rId3" Type="http://schemas.openxmlformats.org/officeDocument/2006/relationships/hyperlink" Target="https://docs.google.com/spreadsheets/d/148YgGLFc8TizRnGrZZTNUsdgLBXp8uL_b_NJJelhOqA/edit?gid=1094408807"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9.63"/>
    <col customWidth="1" min="2" max="2" width="14.88"/>
    <col customWidth="1" min="3" max="3" width="17.5"/>
    <col customWidth="1" min="10" max="13" width="15.13"/>
    <col customWidth="1" min="14" max="14" width="14.25"/>
    <col customWidth="1" min="15" max="15" width="16.38"/>
    <col customWidth="1" min="16" max="16" width="15.63"/>
  </cols>
  <sheetData>
    <row r="1">
      <c r="A1" s="1" t="s">
        <v>0</v>
      </c>
      <c r="B1" s="2">
        <v>1200.0</v>
      </c>
      <c r="C1" s="2">
        <v>1094.0</v>
      </c>
      <c r="D1" s="2">
        <v>1104.0</v>
      </c>
      <c r="E1" s="2">
        <v>1197.0</v>
      </c>
      <c r="F1" s="2">
        <v>1210.0</v>
      </c>
      <c r="G1" s="2">
        <v>1217.0</v>
      </c>
      <c r="H1" s="2">
        <v>1386.0</v>
      </c>
      <c r="I1" s="2">
        <v>1363.0</v>
      </c>
      <c r="J1" s="2">
        <v>1381.0</v>
      </c>
      <c r="K1" s="3">
        <v>1490.0</v>
      </c>
      <c r="L1" s="3"/>
      <c r="M1" s="3"/>
    </row>
    <row r="2">
      <c r="A2" s="4" t="s">
        <v>1</v>
      </c>
      <c r="B2" s="5"/>
      <c r="O2" s="6" t="s">
        <v>2</v>
      </c>
      <c r="P2" s="6">
        <v>29.0</v>
      </c>
    </row>
    <row r="3">
      <c r="A3" s="7" t="s">
        <v>3</v>
      </c>
      <c r="B3" s="8" t="s">
        <v>4</v>
      </c>
      <c r="C3" s="8" t="s">
        <v>5</v>
      </c>
      <c r="D3" s="8" t="s">
        <v>6</v>
      </c>
      <c r="E3" s="8" t="s">
        <v>7</v>
      </c>
      <c r="F3" s="8" t="s">
        <v>8</v>
      </c>
      <c r="G3" s="8" t="s">
        <v>9</v>
      </c>
      <c r="H3" s="8" t="s">
        <v>10</v>
      </c>
      <c r="I3" s="8" t="s">
        <v>11</v>
      </c>
      <c r="J3" s="8" t="s">
        <v>12</v>
      </c>
      <c r="K3" s="8" t="s">
        <v>13</v>
      </c>
      <c r="L3" s="8" t="s">
        <v>14</v>
      </c>
      <c r="M3" s="8" t="s">
        <v>15</v>
      </c>
      <c r="N3" s="8" t="s">
        <v>16</v>
      </c>
      <c r="O3" s="9" t="s">
        <v>17</v>
      </c>
      <c r="P3" s="9" t="s">
        <v>18</v>
      </c>
    </row>
    <row r="4">
      <c r="A4" s="10" t="s">
        <v>19</v>
      </c>
      <c r="B4" s="11">
        <f>148000+5495437</f>
        <v>5643437</v>
      </c>
      <c r="C4" s="11">
        <f>102000+5408210</f>
        <v>5510210</v>
      </c>
      <c r="D4" s="11">
        <f>151000+6321878</f>
        <v>6472878</v>
      </c>
      <c r="E4" s="11">
        <f>131000+5955786</f>
        <v>6086786</v>
      </c>
      <c r="F4" s="11">
        <f>221000+6432636</f>
        <v>6653636</v>
      </c>
      <c r="G4" s="11">
        <f>254000+8395732</f>
        <v>8649732</v>
      </c>
      <c r="H4" s="11">
        <f>316000+9967250</f>
        <v>10283250</v>
      </c>
      <c r="I4" s="12">
        <f>Agosto_25!G4</f>
        <v>6744969</v>
      </c>
      <c r="J4" s="12">
        <f>Septiembre_25!G4</f>
        <v>7369795</v>
      </c>
      <c r="K4" s="12">
        <f>Octubre_25!G4</f>
        <v>8670544</v>
      </c>
      <c r="L4" s="12">
        <f>Noviembre_25!G4</f>
        <v>7375151</v>
      </c>
      <c r="M4" s="12">
        <f>Diciembre_25!G4</f>
        <v>9443898</v>
      </c>
      <c r="N4" s="13">
        <f t="shared" ref="N4:N16" si="2">AVERAGE(B4:M4)</f>
        <v>7408690.5</v>
      </c>
      <c r="O4" s="14">
        <v>8550000.0</v>
      </c>
      <c r="P4" s="15">
        <f>L4/$P$2*30</f>
        <v>7629466.552</v>
      </c>
    </row>
    <row r="5">
      <c r="A5" s="10" t="s">
        <v>20</v>
      </c>
      <c r="B5" s="16">
        <f t="shared" ref="B5:J5" si="1">B4/B$1</f>
        <v>4702.864167</v>
      </c>
      <c r="C5" s="16">
        <f t="shared" si="1"/>
        <v>5036.755027</v>
      </c>
      <c r="D5" s="16">
        <f t="shared" si="1"/>
        <v>5863.11413</v>
      </c>
      <c r="E5" s="16">
        <f t="shared" si="1"/>
        <v>5085.034252</v>
      </c>
      <c r="F5" s="16">
        <f t="shared" si="1"/>
        <v>5498.872727</v>
      </c>
      <c r="G5" s="16">
        <f t="shared" si="1"/>
        <v>7107.421528</v>
      </c>
      <c r="H5" s="16">
        <f t="shared" si="1"/>
        <v>7419.372294</v>
      </c>
      <c r="I5" s="16">
        <f t="shared" si="1"/>
        <v>4948.619956</v>
      </c>
      <c r="J5" s="16">
        <f t="shared" si="1"/>
        <v>5336.564084</v>
      </c>
      <c r="K5" s="16">
        <f>Octubre_25!G5</f>
        <v>5819.157047</v>
      </c>
      <c r="L5" s="16">
        <f>Noviembre_25!G5</f>
        <v>4949.765772</v>
      </c>
      <c r="M5" s="16">
        <f>Diciembre_25!G5</f>
        <v>6338.186577</v>
      </c>
      <c r="N5" s="17">
        <f t="shared" si="2"/>
        <v>5675.477297</v>
      </c>
      <c r="O5" s="18">
        <f>O4/$B$1</f>
        <v>7125</v>
      </c>
      <c r="P5" s="19">
        <f>P4/$J$1</f>
        <v>5524.59562</v>
      </c>
    </row>
    <row r="6">
      <c r="A6" s="10" t="s">
        <v>21</v>
      </c>
      <c r="B6" s="20">
        <f>2325+171+18</f>
        <v>2514</v>
      </c>
      <c r="C6" s="20">
        <f>2269+25+108</f>
        <v>2402</v>
      </c>
      <c r="D6" s="20">
        <f>2768+17+184</f>
        <v>2969</v>
      </c>
      <c r="E6" s="20">
        <v>2929.0</v>
      </c>
      <c r="F6" s="20">
        <v>1377.0</v>
      </c>
      <c r="G6" s="20">
        <v>1387.0</v>
      </c>
      <c r="H6" s="20">
        <v>2163.0</v>
      </c>
      <c r="I6" s="21">
        <f>Agosto_25!G5</f>
        <v>1155</v>
      </c>
      <c r="J6" s="21">
        <f>Septiembre_25!G6</f>
        <v>1573</v>
      </c>
      <c r="K6" s="21">
        <f>Octubre_25!G6</f>
        <v>1799</v>
      </c>
      <c r="L6" s="21">
        <f>Noviembre_25!G6</f>
        <v>2263</v>
      </c>
      <c r="M6" s="21">
        <f>Diciembre_25!G6</f>
        <v>2565</v>
      </c>
      <c r="N6" s="22">
        <f t="shared" si="2"/>
        <v>2091.333333</v>
      </c>
      <c r="O6" s="23">
        <v>1632.0</v>
      </c>
      <c r="P6" s="24">
        <f>L6/$P$2*30</f>
        <v>2341.034483</v>
      </c>
    </row>
    <row r="7">
      <c r="A7" s="10" t="s">
        <v>22</v>
      </c>
      <c r="B7" s="12">
        <f t="shared" ref="B7:I7" si="3">B4/B6</f>
        <v>2244.803898</v>
      </c>
      <c r="C7" s="12">
        <f t="shared" si="3"/>
        <v>2294.009159</v>
      </c>
      <c r="D7" s="12">
        <f t="shared" si="3"/>
        <v>2180.154261</v>
      </c>
      <c r="E7" s="12">
        <f t="shared" si="3"/>
        <v>2078.110618</v>
      </c>
      <c r="F7" s="12">
        <f t="shared" si="3"/>
        <v>4831.979666</v>
      </c>
      <c r="G7" s="12">
        <f t="shared" si="3"/>
        <v>6236.288392</v>
      </c>
      <c r="H7" s="12">
        <f t="shared" si="3"/>
        <v>4754.160888</v>
      </c>
      <c r="I7" s="12">
        <f t="shared" si="3"/>
        <v>5839.8</v>
      </c>
      <c r="J7" s="12">
        <f>Septiembre_25!G7</f>
        <v>4685.184361</v>
      </c>
      <c r="K7" s="12">
        <f>Octubre_25!G7</f>
        <v>4819.64647</v>
      </c>
      <c r="L7" s="12">
        <f>Noviembre_25!G7</f>
        <v>3259.015024</v>
      </c>
      <c r="M7" s="12">
        <f>Diciembre_25!G7</f>
        <v>3681.831579</v>
      </c>
      <c r="N7" s="13">
        <f t="shared" si="2"/>
        <v>3908.748693</v>
      </c>
      <c r="O7" s="14">
        <f t="shared" ref="O7:P7" si="4">O4/O6</f>
        <v>5238.970588</v>
      </c>
      <c r="P7" s="15">
        <f t="shared" si="4"/>
        <v>3259.015024</v>
      </c>
    </row>
    <row r="8">
      <c r="A8" s="10" t="s">
        <v>23</v>
      </c>
      <c r="B8" s="16">
        <f t="shared" ref="B8:J8" si="5">B7/B$1</f>
        <v>1.870669915</v>
      </c>
      <c r="C8" s="16">
        <f t="shared" si="5"/>
        <v>2.096900511</v>
      </c>
      <c r="D8" s="16">
        <f t="shared" si="5"/>
        <v>1.97477741</v>
      </c>
      <c r="E8" s="16">
        <f t="shared" si="5"/>
        <v>1.736099096</v>
      </c>
      <c r="F8" s="16">
        <f t="shared" si="5"/>
        <v>3.993371625</v>
      </c>
      <c r="G8" s="16">
        <f t="shared" si="5"/>
        <v>5.124312565</v>
      </c>
      <c r="H8" s="16">
        <f t="shared" si="5"/>
        <v>3.430130511</v>
      </c>
      <c r="I8" s="16">
        <f t="shared" si="5"/>
        <v>4.284519442</v>
      </c>
      <c r="J8" s="16">
        <f t="shared" si="5"/>
        <v>3.392602723</v>
      </c>
      <c r="K8" s="16">
        <f>Octubre_25!G8</f>
        <v>3.234662061</v>
      </c>
      <c r="L8" s="16">
        <f>Noviembre_25!G8</f>
        <v>2.187258406</v>
      </c>
      <c r="M8" s="16">
        <f>Diciembre_25!G8</f>
        <v>2.471027905</v>
      </c>
      <c r="N8" s="17">
        <f t="shared" si="2"/>
        <v>2.983027681</v>
      </c>
      <c r="O8" s="18">
        <f>O5/O$6</f>
        <v>4.365808824</v>
      </c>
      <c r="P8" s="24"/>
    </row>
    <row r="9">
      <c r="A9" s="10" t="s">
        <v>24</v>
      </c>
      <c r="B9" s="20">
        <v>198.0</v>
      </c>
      <c r="C9" s="20">
        <v>204.0</v>
      </c>
      <c r="D9" s="20">
        <v>134.0</v>
      </c>
      <c r="E9" s="20">
        <v>99.0</v>
      </c>
      <c r="F9" s="20">
        <v>127.0</v>
      </c>
      <c r="G9" s="20">
        <v>124.0</v>
      </c>
      <c r="H9" s="20">
        <v>158.0</v>
      </c>
      <c r="I9" s="20">
        <v>125.0</v>
      </c>
      <c r="J9" s="20">
        <v>160.0</v>
      </c>
      <c r="K9" s="20">
        <f>Octubre_25!G9</f>
        <v>160</v>
      </c>
      <c r="L9" s="20">
        <f>Noviembre_25!G9</f>
        <v>132</v>
      </c>
      <c r="M9" s="20">
        <f>Diciembre_25!G9</f>
        <v>161</v>
      </c>
      <c r="N9" s="22">
        <f t="shared" si="2"/>
        <v>148.5</v>
      </c>
      <c r="O9" s="23">
        <v>157.0</v>
      </c>
      <c r="P9" s="24">
        <f>L9/$P$2*30</f>
        <v>136.5517241</v>
      </c>
    </row>
    <row r="10">
      <c r="A10" s="10" t="s">
        <v>25</v>
      </c>
      <c r="B10" s="12">
        <f t="shared" ref="B10:I10" si="6">B4/B9</f>
        <v>28502.20707</v>
      </c>
      <c r="C10" s="12">
        <f t="shared" si="6"/>
        <v>27010.83333</v>
      </c>
      <c r="D10" s="12">
        <f t="shared" si="6"/>
        <v>48305.0597</v>
      </c>
      <c r="E10" s="12">
        <f t="shared" si="6"/>
        <v>61482.68687</v>
      </c>
      <c r="F10" s="12">
        <f t="shared" si="6"/>
        <v>52390.83465</v>
      </c>
      <c r="G10" s="12">
        <f t="shared" si="6"/>
        <v>69755.90323</v>
      </c>
      <c r="H10" s="12">
        <f t="shared" si="6"/>
        <v>65083.86076</v>
      </c>
      <c r="I10" s="12">
        <f t="shared" si="6"/>
        <v>53959.752</v>
      </c>
      <c r="J10" s="12">
        <f>Septiembre_25!G11</f>
        <v>51537.02797</v>
      </c>
      <c r="K10" s="11">
        <f>Octubre_25!G11</f>
        <v>54190.9</v>
      </c>
      <c r="L10" s="11">
        <f>Noviembre_25!G11</f>
        <v>55872.35606</v>
      </c>
      <c r="M10" s="11">
        <f>Diciembre_25!G11</f>
        <v>58657.75155</v>
      </c>
      <c r="N10" s="13">
        <f t="shared" si="2"/>
        <v>52229.09777</v>
      </c>
      <c r="O10" s="25">
        <f t="shared" ref="O10:P10" si="7">O4/O9</f>
        <v>54458.59873</v>
      </c>
      <c r="P10" s="15">
        <f t="shared" si="7"/>
        <v>55872.35606</v>
      </c>
    </row>
    <row r="11">
      <c r="A11" s="10" t="s">
        <v>26</v>
      </c>
      <c r="B11" s="16">
        <f t="shared" ref="B11:J11" si="8">B10/B$1</f>
        <v>23.75183923</v>
      </c>
      <c r="C11" s="16">
        <f t="shared" si="8"/>
        <v>24.68997562</v>
      </c>
      <c r="D11" s="16">
        <f t="shared" si="8"/>
        <v>43.75458306</v>
      </c>
      <c r="E11" s="16">
        <f t="shared" si="8"/>
        <v>51.36398235</v>
      </c>
      <c r="F11" s="16">
        <f t="shared" si="8"/>
        <v>43.29821045</v>
      </c>
      <c r="G11" s="16">
        <f t="shared" si="8"/>
        <v>57.31791555</v>
      </c>
      <c r="H11" s="16">
        <f t="shared" si="8"/>
        <v>46.9580525</v>
      </c>
      <c r="I11" s="16">
        <f t="shared" si="8"/>
        <v>39.58895965</v>
      </c>
      <c r="J11" s="16">
        <f t="shared" si="8"/>
        <v>37.31862996</v>
      </c>
      <c r="K11" s="16">
        <f>Octubre_25!G12</f>
        <v>36.36973154</v>
      </c>
      <c r="L11" s="16">
        <f>Noviembre_25!G12</f>
        <v>37.49822554</v>
      </c>
      <c r="M11" s="16">
        <f>Diciembre_25!G12</f>
        <v>39.36761849</v>
      </c>
      <c r="N11" s="17">
        <f t="shared" si="2"/>
        <v>40.106477</v>
      </c>
      <c r="O11" s="18">
        <f>O5/O$9</f>
        <v>45.38216561</v>
      </c>
      <c r="P11" s="26"/>
    </row>
    <row r="12">
      <c r="A12" s="10" t="s">
        <v>27</v>
      </c>
      <c r="B12" s="27">
        <f t="shared" ref="B12:I12" si="9">B9/B6</f>
        <v>0.07875894988</v>
      </c>
      <c r="C12" s="27">
        <f t="shared" si="9"/>
        <v>0.08492922565</v>
      </c>
      <c r="D12" s="27">
        <f t="shared" si="9"/>
        <v>0.04513304143</v>
      </c>
      <c r="E12" s="27">
        <f t="shared" si="9"/>
        <v>0.03379993172</v>
      </c>
      <c r="F12" s="27">
        <f t="shared" si="9"/>
        <v>0.09222948439</v>
      </c>
      <c r="G12" s="27">
        <f t="shared" si="9"/>
        <v>0.08940158616</v>
      </c>
      <c r="H12" s="27">
        <f t="shared" si="9"/>
        <v>0.07304669441</v>
      </c>
      <c r="I12" s="27">
        <f t="shared" si="9"/>
        <v>0.1082251082</v>
      </c>
      <c r="J12" s="27">
        <f>Septiembre_25!G13</f>
        <v>0.1029879212</v>
      </c>
      <c r="K12" s="27">
        <f>Octubre_25!G13</f>
        <v>0.08893829906</v>
      </c>
      <c r="L12" s="27">
        <f>Noviembre_25!G13</f>
        <v>0.05832965091</v>
      </c>
      <c r="M12" s="27">
        <f>Diciembre_25!G13</f>
        <v>0.06276803119</v>
      </c>
      <c r="N12" s="28">
        <f t="shared" si="2"/>
        <v>0.07654566035</v>
      </c>
      <c r="O12" s="29">
        <f t="shared" ref="O12:P12" si="10">O9/O6</f>
        <v>0.09620098039</v>
      </c>
      <c r="P12" s="26">
        <f t="shared" si="10"/>
        <v>0.05832965091</v>
      </c>
    </row>
    <row r="13">
      <c r="A13" s="10" t="s">
        <v>28</v>
      </c>
      <c r="B13" s="20">
        <v>8.5</v>
      </c>
      <c r="C13" s="20">
        <v>6.3</v>
      </c>
      <c r="D13" s="20">
        <v>6.6</v>
      </c>
      <c r="E13" s="20">
        <v>11.0</v>
      </c>
      <c r="F13" s="20">
        <v>4.6</v>
      </c>
      <c r="G13" s="20">
        <v>5.6</v>
      </c>
      <c r="H13" s="20">
        <v>10.8</v>
      </c>
      <c r="I13" s="20">
        <v>4.0</v>
      </c>
      <c r="J13" s="20">
        <v>8.3</v>
      </c>
      <c r="K13" s="20">
        <v>5.5</v>
      </c>
      <c r="L13" s="20">
        <v>0.8</v>
      </c>
      <c r="M13" s="20">
        <f>Diciembre_25!G18</f>
        <v>5</v>
      </c>
      <c r="N13" s="30">
        <f t="shared" si="2"/>
        <v>6.416666667</v>
      </c>
      <c r="O13" s="31"/>
      <c r="P13" s="31"/>
    </row>
    <row r="14">
      <c r="A14" s="10" t="s">
        <v>29</v>
      </c>
      <c r="B14" s="12">
        <f t="shared" ref="B14:I14" si="11">B4/B13</f>
        <v>663933.7647</v>
      </c>
      <c r="C14" s="12">
        <f t="shared" si="11"/>
        <v>874636.5079</v>
      </c>
      <c r="D14" s="12">
        <f t="shared" si="11"/>
        <v>980739.0909</v>
      </c>
      <c r="E14" s="12">
        <f t="shared" si="11"/>
        <v>553344.1818</v>
      </c>
      <c r="F14" s="12">
        <f t="shared" si="11"/>
        <v>1446442.609</v>
      </c>
      <c r="G14" s="12">
        <f t="shared" si="11"/>
        <v>1544595</v>
      </c>
      <c r="H14" s="12">
        <f t="shared" si="11"/>
        <v>952152.7778</v>
      </c>
      <c r="I14" s="12">
        <f t="shared" si="11"/>
        <v>1686242.25</v>
      </c>
      <c r="J14" s="12">
        <f>Septiembre_25!G15</f>
        <v>1473959</v>
      </c>
      <c r="K14" s="12">
        <f t="shared" ref="K14:M14" si="12">K4/K13</f>
        <v>1576462.545</v>
      </c>
      <c r="L14" s="12">
        <f t="shared" si="12"/>
        <v>9218938.75</v>
      </c>
      <c r="M14" s="12">
        <f t="shared" si="12"/>
        <v>1888779.6</v>
      </c>
      <c r="N14" s="13">
        <f t="shared" si="2"/>
        <v>1905018.84</v>
      </c>
      <c r="O14" s="31"/>
      <c r="P14" s="31"/>
    </row>
    <row r="15">
      <c r="A15" s="10" t="s">
        <v>30</v>
      </c>
      <c r="B15" s="16">
        <f t="shared" ref="B15:K15" si="13">B14/B$1</f>
        <v>553.2781373</v>
      </c>
      <c r="C15" s="16">
        <f t="shared" si="13"/>
        <v>799.484925</v>
      </c>
      <c r="D15" s="16">
        <f t="shared" si="13"/>
        <v>888.3506258</v>
      </c>
      <c r="E15" s="16">
        <f t="shared" si="13"/>
        <v>462.2758411</v>
      </c>
      <c r="F15" s="16">
        <f t="shared" si="13"/>
        <v>1195.407115</v>
      </c>
      <c r="G15" s="16">
        <f t="shared" si="13"/>
        <v>1269.182416</v>
      </c>
      <c r="H15" s="16">
        <f t="shared" si="13"/>
        <v>686.9789161</v>
      </c>
      <c r="I15" s="16">
        <f t="shared" si="13"/>
        <v>1237.154989</v>
      </c>
      <c r="J15" s="16">
        <f t="shared" si="13"/>
        <v>1067.312817</v>
      </c>
      <c r="K15" s="16">
        <f t="shared" si="13"/>
        <v>1058.028554</v>
      </c>
      <c r="L15" s="16">
        <f>L14/K$1</f>
        <v>6187.207215</v>
      </c>
      <c r="M15" s="16">
        <f>M14/K$1</f>
        <v>1267.637315</v>
      </c>
      <c r="N15" s="17">
        <f t="shared" si="2"/>
        <v>1389.358239</v>
      </c>
      <c r="O15" s="31"/>
      <c r="P15" s="31"/>
    </row>
    <row r="16">
      <c r="A16" s="10" t="s">
        <v>31</v>
      </c>
      <c r="B16" s="32"/>
      <c r="C16" s="32">
        <v>14.6</v>
      </c>
      <c r="D16" s="32">
        <v>9.5</v>
      </c>
      <c r="E16" s="32">
        <v>8.3</v>
      </c>
      <c r="F16" s="32">
        <v>13.7</v>
      </c>
      <c r="G16" s="32">
        <v>5.6</v>
      </c>
      <c r="H16" s="32">
        <v>12.5</v>
      </c>
      <c r="I16" s="32">
        <v>5.8</v>
      </c>
      <c r="J16" s="32">
        <v>10.55</v>
      </c>
      <c r="K16" s="32">
        <v>7.75</v>
      </c>
      <c r="L16" s="32">
        <v>2.45</v>
      </c>
      <c r="M16" s="32">
        <v>8.95</v>
      </c>
      <c r="N16" s="30">
        <f t="shared" si="2"/>
        <v>9.063636364</v>
      </c>
      <c r="O16" s="31"/>
      <c r="P16" s="31"/>
    </row>
    <row r="17">
      <c r="A17" s="10" t="s">
        <v>32</v>
      </c>
      <c r="B17" s="27">
        <f t="shared" ref="B17:I17" si="14">B13/B6</f>
        <v>0.00338106603</v>
      </c>
      <c r="C17" s="27">
        <f t="shared" si="14"/>
        <v>0.002622814321</v>
      </c>
      <c r="D17" s="27">
        <f t="shared" si="14"/>
        <v>0.002222970697</v>
      </c>
      <c r="E17" s="27">
        <f t="shared" si="14"/>
        <v>0.003755547969</v>
      </c>
      <c r="F17" s="27">
        <f t="shared" si="14"/>
        <v>0.003340595497</v>
      </c>
      <c r="G17" s="27">
        <f t="shared" si="14"/>
        <v>0.004037490988</v>
      </c>
      <c r="H17" s="27">
        <f t="shared" si="14"/>
        <v>0.004993065187</v>
      </c>
      <c r="I17" s="27">
        <f t="shared" si="14"/>
        <v>0.003463203463</v>
      </c>
      <c r="J17" s="27">
        <f>Septiembre_25!G17</f>
        <v>0.003178639542</v>
      </c>
      <c r="K17" s="27">
        <f t="shared" ref="K17:M17" si="15">K13/K6</f>
        <v>0.00305725403</v>
      </c>
      <c r="L17" s="27">
        <f t="shared" si="15"/>
        <v>0.0003535130358</v>
      </c>
      <c r="M17" s="27">
        <f t="shared" si="15"/>
        <v>0.001949317739</v>
      </c>
      <c r="N17" s="28">
        <f>AVERAGE(B17:I17)</f>
        <v>0.003477094269</v>
      </c>
      <c r="O17" s="31"/>
      <c r="P17" s="31"/>
    </row>
    <row r="18">
      <c r="A18" s="10" t="s">
        <v>33</v>
      </c>
      <c r="B18" s="27">
        <f t="shared" ref="B18:N18" si="16">B13/B9</f>
        <v>0.04292929293</v>
      </c>
      <c r="C18" s="27">
        <f t="shared" si="16"/>
        <v>0.03088235294</v>
      </c>
      <c r="D18" s="27">
        <f t="shared" si="16"/>
        <v>0.04925373134</v>
      </c>
      <c r="E18" s="27">
        <f t="shared" si="16"/>
        <v>0.1111111111</v>
      </c>
      <c r="F18" s="27">
        <f t="shared" si="16"/>
        <v>0.03622047244</v>
      </c>
      <c r="G18" s="27">
        <f t="shared" si="16"/>
        <v>0.04516129032</v>
      </c>
      <c r="H18" s="27">
        <f t="shared" si="16"/>
        <v>0.06835443038</v>
      </c>
      <c r="I18" s="27">
        <f t="shared" si="16"/>
        <v>0.032</v>
      </c>
      <c r="J18" s="27">
        <f t="shared" si="16"/>
        <v>0.051875</v>
      </c>
      <c r="K18" s="27">
        <f t="shared" si="16"/>
        <v>0.034375</v>
      </c>
      <c r="L18" s="27">
        <f t="shared" si="16"/>
        <v>0.006060606061</v>
      </c>
      <c r="M18" s="27">
        <f t="shared" si="16"/>
        <v>0.03105590062</v>
      </c>
      <c r="N18" s="28">
        <f t="shared" si="16"/>
        <v>0.04320987654</v>
      </c>
      <c r="O18" s="31"/>
      <c r="P18" s="31"/>
    </row>
    <row r="20">
      <c r="B20" s="33" t="s">
        <v>34</v>
      </c>
      <c r="C20" s="34" t="s">
        <v>35</v>
      </c>
    </row>
    <row r="22">
      <c r="J22" s="35"/>
      <c r="K22" s="35"/>
      <c r="L22" s="35"/>
      <c r="M22" s="35"/>
      <c r="N22" s="35"/>
    </row>
    <row r="23">
      <c r="B23" s="5">
        <v>1.5</v>
      </c>
      <c r="J23" s="36"/>
      <c r="K23" s="36"/>
      <c r="L23" s="36"/>
      <c r="M23" s="36"/>
      <c r="N23" s="36"/>
    </row>
    <row r="24">
      <c r="J24" s="37"/>
      <c r="K24" s="37"/>
      <c r="L24" s="37"/>
      <c r="M24" s="37"/>
      <c r="N24" s="37"/>
    </row>
    <row r="25">
      <c r="J25" s="38"/>
      <c r="K25" s="38"/>
      <c r="L25" s="38"/>
      <c r="M25" s="38"/>
      <c r="N25" s="38"/>
    </row>
  </sheetData>
  <hyperlinks>
    <hyperlink r:id="rId1" location="gid=0" ref="C20"/>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29.13"/>
    <col customWidth="1" min="2" max="2" width="19.38"/>
    <col customWidth="1" min="3" max="3" width="18.38"/>
    <col customWidth="1" min="4" max="4" width="18.13"/>
    <col customWidth="1" min="5" max="6" width="16.13"/>
    <col customWidth="1" min="7" max="7" width="15.25"/>
    <col customWidth="1" min="8" max="8" width="13.13"/>
    <col customWidth="1" min="9" max="9" width="15.13"/>
  </cols>
  <sheetData>
    <row r="1">
      <c r="A1" s="39" t="s">
        <v>0</v>
      </c>
      <c r="B1" s="39">
        <v>1490.0</v>
      </c>
      <c r="C1" s="40"/>
      <c r="D1" s="40"/>
      <c r="E1" s="40"/>
      <c r="F1" s="41" t="s">
        <v>36</v>
      </c>
      <c r="G1" s="41">
        <v>19.0</v>
      </c>
      <c r="H1" s="41" t="s">
        <v>37</v>
      </c>
      <c r="I1" s="42">
        <f>G1/30</f>
        <v>0.6333333333</v>
      </c>
      <c r="J1" s="40"/>
      <c r="K1" s="40"/>
      <c r="L1" s="40"/>
      <c r="M1" s="40"/>
      <c r="N1" s="40"/>
      <c r="O1" s="40"/>
      <c r="P1" s="40"/>
      <c r="Q1" s="40"/>
      <c r="R1" s="40"/>
      <c r="S1" s="40"/>
      <c r="T1" s="40"/>
      <c r="U1" s="40"/>
      <c r="V1" s="40"/>
      <c r="W1" s="40"/>
      <c r="X1" s="40"/>
      <c r="Y1" s="40"/>
      <c r="Z1" s="40"/>
      <c r="AA1" s="40"/>
      <c r="AB1" s="40"/>
    </row>
    <row r="2">
      <c r="A2" s="43" t="s">
        <v>1</v>
      </c>
      <c r="B2" s="40"/>
      <c r="C2" s="40"/>
      <c r="D2" s="40"/>
      <c r="E2" s="40"/>
      <c r="F2" s="40"/>
      <c r="G2" s="40"/>
      <c r="H2" s="40"/>
      <c r="I2" s="40"/>
      <c r="J2" s="40"/>
      <c r="K2" s="40"/>
      <c r="L2" s="40"/>
      <c r="M2" s="40"/>
      <c r="N2" s="40"/>
      <c r="O2" s="40"/>
      <c r="P2" s="40"/>
      <c r="Q2" s="40"/>
      <c r="R2" s="40"/>
      <c r="S2" s="40"/>
      <c r="T2" s="40"/>
      <c r="U2" s="40"/>
      <c r="V2" s="40"/>
      <c r="W2" s="40"/>
      <c r="X2" s="40"/>
      <c r="Y2" s="40"/>
      <c r="Z2" s="40"/>
      <c r="AA2" s="40"/>
      <c r="AB2" s="40"/>
    </row>
    <row r="3">
      <c r="A3" s="7" t="s">
        <v>3</v>
      </c>
      <c r="B3" s="44" t="s">
        <v>38</v>
      </c>
      <c r="C3" s="44" t="s">
        <v>39</v>
      </c>
      <c r="D3" s="44" t="s">
        <v>40</v>
      </c>
      <c r="E3" s="44" t="s">
        <v>41</v>
      </c>
      <c r="F3" s="44" t="s">
        <v>42</v>
      </c>
      <c r="G3" s="44" t="s">
        <v>43</v>
      </c>
      <c r="H3" s="45" t="s">
        <v>17</v>
      </c>
      <c r="I3" s="46" t="s">
        <v>44</v>
      </c>
      <c r="J3" s="47" t="s">
        <v>45</v>
      </c>
      <c r="K3" s="48" t="s">
        <v>46</v>
      </c>
      <c r="L3" s="49"/>
      <c r="M3" s="49"/>
      <c r="N3" s="49"/>
      <c r="O3" s="49"/>
      <c r="P3" s="49"/>
      <c r="Q3" s="50"/>
      <c r="R3" s="40"/>
      <c r="S3" s="40"/>
      <c r="T3" s="40"/>
      <c r="U3" s="40"/>
      <c r="V3" s="40"/>
      <c r="W3" s="40"/>
      <c r="X3" s="40"/>
      <c r="Y3" s="40"/>
      <c r="Z3" s="40"/>
      <c r="AA3" s="40"/>
      <c r="AB3" s="40"/>
    </row>
    <row r="4">
      <c r="A4" s="51" t="s">
        <v>19</v>
      </c>
      <c r="B4" s="52">
        <f>1653946+88523</f>
        <v>1742469</v>
      </c>
      <c r="C4" s="52">
        <f>1774569+105128</f>
        <v>1879697</v>
      </c>
      <c r="D4" s="52">
        <f>1856984+96067</f>
        <v>1953051</v>
      </c>
      <c r="E4" s="52"/>
      <c r="F4" s="52"/>
      <c r="G4" s="53">
        <f t="shared" ref="G4:G6" si="2">SUM(B4:F4)</f>
        <v>5575217</v>
      </c>
      <c r="H4" s="54">
        <v>8850000.0</v>
      </c>
      <c r="I4" s="55">
        <f t="shared" ref="I4:I6" si="3">G4/H4</f>
        <v>0.6299680226</v>
      </c>
      <c r="J4" s="56">
        <f>$G4/$G$1*30</f>
        <v>8802974.211</v>
      </c>
      <c r="K4" s="57"/>
      <c r="Q4" s="58"/>
      <c r="R4" s="40"/>
      <c r="S4" s="40"/>
      <c r="T4" s="40"/>
      <c r="U4" s="40"/>
      <c r="V4" s="40"/>
      <c r="W4" s="40"/>
      <c r="X4" s="40"/>
      <c r="Y4" s="40"/>
      <c r="Z4" s="40"/>
      <c r="AA4" s="40"/>
      <c r="AB4" s="40"/>
    </row>
    <row r="5">
      <c r="A5" s="51" t="s">
        <v>20</v>
      </c>
      <c r="B5" s="59">
        <f t="shared" ref="B5:F5" si="1">B4/$B$1</f>
        <v>1169.442282</v>
      </c>
      <c r="C5" s="59">
        <f t="shared" si="1"/>
        <v>1261.541611</v>
      </c>
      <c r="D5" s="59">
        <f t="shared" si="1"/>
        <v>1310.772483</v>
      </c>
      <c r="E5" s="59">
        <f t="shared" si="1"/>
        <v>0</v>
      </c>
      <c r="F5" s="59">
        <f t="shared" si="1"/>
        <v>0</v>
      </c>
      <c r="G5" s="60">
        <f t="shared" si="2"/>
        <v>3741.756376</v>
      </c>
      <c r="H5" s="61">
        <f>H4/$B$1</f>
        <v>5939.597315</v>
      </c>
      <c r="I5" s="55">
        <f t="shared" si="3"/>
        <v>0.6299680226</v>
      </c>
      <c r="J5" s="62">
        <f>J4/$B$1</f>
        <v>5908.036383</v>
      </c>
      <c r="K5" s="57"/>
      <c r="Q5" s="58"/>
      <c r="R5" s="40"/>
      <c r="S5" s="40"/>
      <c r="T5" s="40"/>
      <c r="U5" s="40"/>
      <c r="V5" s="40"/>
      <c r="W5" s="40"/>
      <c r="X5" s="40"/>
      <c r="Y5" s="40"/>
      <c r="Z5" s="40"/>
      <c r="AA5" s="40"/>
      <c r="AB5" s="40"/>
    </row>
    <row r="6">
      <c r="A6" s="51" t="s">
        <v>21</v>
      </c>
      <c r="B6" s="63">
        <v>464.0</v>
      </c>
      <c r="C6" s="63">
        <v>533.0</v>
      </c>
      <c r="D6" s="63">
        <v>444.0</v>
      </c>
      <c r="E6" s="63"/>
      <c r="F6" s="63"/>
      <c r="G6" s="64">
        <f t="shared" si="2"/>
        <v>1441</v>
      </c>
      <c r="H6" s="65">
        <v>2008.0</v>
      </c>
      <c r="I6" s="55">
        <f t="shared" si="3"/>
        <v>0.7176294821</v>
      </c>
      <c r="J6" s="66">
        <f>$G6/$G$1*30</f>
        <v>2275.263158</v>
      </c>
      <c r="K6" s="57"/>
      <c r="Q6" s="58"/>
      <c r="R6" s="40"/>
      <c r="S6" s="40"/>
      <c r="T6" s="40"/>
      <c r="U6" s="40"/>
      <c r="V6" s="40"/>
      <c r="W6" s="40"/>
      <c r="X6" s="40"/>
      <c r="Y6" s="40"/>
      <c r="Z6" s="40"/>
      <c r="AA6" s="40"/>
      <c r="AB6" s="40"/>
    </row>
    <row r="7">
      <c r="A7" s="51" t="s">
        <v>22</v>
      </c>
      <c r="B7" s="67">
        <f t="shared" ref="B7:F7" si="4">B4/B6</f>
        <v>3755.321121</v>
      </c>
      <c r="C7" s="68">
        <f t="shared" si="4"/>
        <v>3526.636023</v>
      </c>
      <c r="D7" s="68">
        <f t="shared" si="4"/>
        <v>4398.763514</v>
      </c>
      <c r="E7" s="69" t="str">
        <f t="shared" si="4"/>
        <v>#DIV/0!</v>
      </c>
      <c r="F7" s="69" t="str">
        <f t="shared" si="4"/>
        <v>#DIV/0!</v>
      </c>
      <c r="G7" s="53">
        <f>G4/$G$6</f>
        <v>3868.991672</v>
      </c>
      <c r="H7" s="54">
        <f>H4/H6</f>
        <v>4407.370518</v>
      </c>
      <c r="I7" s="55">
        <f>H7/G7-1</f>
        <v>0.1391522368</v>
      </c>
      <c r="J7" s="56">
        <f>J4/J6</f>
        <v>3868.991672</v>
      </c>
      <c r="K7" s="57"/>
      <c r="Q7" s="58"/>
      <c r="R7" s="40"/>
      <c r="S7" s="40"/>
      <c r="T7" s="40"/>
      <c r="U7" s="40"/>
      <c r="V7" s="40"/>
      <c r="W7" s="40"/>
      <c r="X7" s="40"/>
      <c r="Y7" s="40"/>
      <c r="Z7" s="40"/>
      <c r="AA7" s="40"/>
      <c r="AB7" s="40"/>
    </row>
    <row r="8">
      <c r="A8" s="51" t="s">
        <v>23</v>
      </c>
      <c r="B8" s="59">
        <f t="shared" ref="B8:F8" si="5">B7/$B$1</f>
        <v>2.520349745</v>
      </c>
      <c r="C8" s="59">
        <f t="shared" si="5"/>
        <v>2.366869814</v>
      </c>
      <c r="D8" s="59">
        <f t="shared" si="5"/>
        <v>2.952190278</v>
      </c>
      <c r="E8" s="59" t="str">
        <f t="shared" si="5"/>
        <v>#DIV/0!</v>
      </c>
      <c r="F8" s="59" t="str">
        <f t="shared" si="5"/>
        <v>#DIV/0!</v>
      </c>
      <c r="G8" s="60">
        <f t="shared" ref="G8:H8" si="6">G5/G$6</f>
        <v>2.596638706</v>
      </c>
      <c r="H8" s="61">
        <f t="shared" si="6"/>
        <v>2.957966791</v>
      </c>
      <c r="I8" s="55"/>
      <c r="J8" s="66"/>
      <c r="K8" s="57"/>
      <c r="Q8" s="58"/>
      <c r="R8" s="40"/>
      <c r="S8" s="40"/>
      <c r="T8" s="40"/>
      <c r="U8" s="40"/>
      <c r="V8" s="40"/>
      <c r="W8" s="40"/>
      <c r="X8" s="40"/>
      <c r="Y8" s="40"/>
      <c r="Z8" s="40"/>
      <c r="AA8" s="40"/>
      <c r="AB8" s="40"/>
    </row>
    <row r="9">
      <c r="A9" s="51" t="s">
        <v>47</v>
      </c>
      <c r="B9" s="63">
        <v>38.0</v>
      </c>
      <c r="C9" s="63">
        <v>36.0</v>
      </c>
      <c r="D9" s="63">
        <v>36.0</v>
      </c>
      <c r="E9" s="63"/>
      <c r="F9" s="63"/>
      <c r="G9" s="64">
        <f t="shared" ref="G9:G10" si="7">SUM(B9:F9)</f>
        <v>110</v>
      </c>
      <c r="H9" s="65">
        <v>160.0</v>
      </c>
      <c r="I9" s="55">
        <f>G9/H9</f>
        <v>0.6875</v>
      </c>
      <c r="J9" s="66">
        <f>$G9/$G$1*30</f>
        <v>173.6842105</v>
      </c>
      <c r="K9" s="57"/>
      <c r="Q9" s="58"/>
      <c r="R9" s="40"/>
      <c r="S9" s="40"/>
      <c r="T9" s="40"/>
      <c r="U9" s="40"/>
      <c r="V9" s="40"/>
      <c r="W9" s="40"/>
      <c r="X9" s="40"/>
      <c r="Y9" s="40"/>
      <c r="Z9" s="40"/>
      <c r="AA9" s="40"/>
      <c r="AB9" s="40"/>
    </row>
    <row r="10">
      <c r="A10" s="51" t="s">
        <v>48</v>
      </c>
      <c r="B10" s="63">
        <f>B9-6</f>
        <v>32</v>
      </c>
      <c r="C10" s="63">
        <f>C9-8</f>
        <v>28</v>
      </c>
      <c r="D10" s="63">
        <v>21.0</v>
      </c>
      <c r="E10" s="63"/>
      <c r="F10" s="63"/>
      <c r="G10" s="64">
        <f t="shared" si="7"/>
        <v>81</v>
      </c>
      <c r="H10" s="70"/>
      <c r="I10" s="55"/>
      <c r="J10" s="71"/>
      <c r="K10" s="57"/>
      <c r="Q10" s="58"/>
      <c r="R10" s="40"/>
      <c r="S10" s="40"/>
      <c r="T10" s="40"/>
      <c r="U10" s="40"/>
      <c r="V10" s="40"/>
      <c r="W10" s="40"/>
      <c r="X10" s="40"/>
      <c r="Y10" s="40"/>
      <c r="Z10" s="40"/>
      <c r="AA10" s="40"/>
      <c r="AB10" s="40"/>
    </row>
    <row r="11">
      <c r="A11" s="51" t="s">
        <v>25</v>
      </c>
      <c r="B11" s="68">
        <f t="shared" ref="B11:F11" si="8">B4/B9</f>
        <v>45854.44737</v>
      </c>
      <c r="C11" s="68">
        <f t="shared" si="8"/>
        <v>52213.80556</v>
      </c>
      <c r="D11" s="68">
        <f t="shared" si="8"/>
        <v>54251.41667</v>
      </c>
      <c r="E11" s="69" t="str">
        <f t="shared" si="8"/>
        <v>#DIV/0!</v>
      </c>
      <c r="F11" s="69" t="str">
        <f t="shared" si="8"/>
        <v>#DIV/0!</v>
      </c>
      <c r="G11" s="53">
        <f t="shared" ref="G11:G12" si="10">G4/G$9</f>
        <v>50683.79091</v>
      </c>
      <c r="H11" s="70">
        <f>H4/H9</f>
        <v>55312.5</v>
      </c>
      <c r="I11" s="55"/>
      <c r="J11" s="71">
        <f>J4/J9</f>
        <v>50683.79091</v>
      </c>
      <c r="K11" s="57"/>
      <c r="Q11" s="58"/>
      <c r="R11" s="40"/>
      <c r="S11" s="40"/>
      <c r="T11" s="40"/>
      <c r="U11" s="40"/>
      <c r="V11" s="40"/>
      <c r="W11" s="40"/>
      <c r="X11" s="40"/>
      <c r="Y11" s="40"/>
      <c r="Z11" s="40"/>
      <c r="AA11" s="40"/>
      <c r="AB11" s="40"/>
    </row>
    <row r="12">
      <c r="A12" s="51" t="s">
        <v>26</v>
      </c>
      <c r="B12" s="59">
        <f t="shared" ref="B12:F12" si="9">B11/$B$1</f>
        <v>30.77479689</v>
      </c>
      <c r="C12" s="59">
        <f t="shared" si="9"/>
        <v>35.04282252</v>
      </c>
      <c r="D12" s="59">
        <f t="shared" si="9"/>
        <v>36.41034676</v>
      </c>
      <c r="E12" s="59" t="str">
        <f t="shared" si="9"/>
        <v>#DIV/0!</v>
      </c>
      <c r="F12" s="59" t="str">
        <f t="shared" si="9"/>
        <v>#DIV/0!</v>
      </c>
      <c r="G12" s="60">
        <f t="shared" si="10"/>
        <v>34.01596705</v>
      </c>
      <c r="H12" s="61">
        <f>H5/H$9</f>
        <v>37.12248322</v>
      </c>
      <c r="I12" s="72"/>
      <c r="J12" s="73"/>
      <c r="K12" s="57"/>
      <c r="Q12" s="58"/>
      <c r="R12" s="40"/>
      <c r="S12" s="40"/>
      <c r="T12" s="40"/>
      <c r="U12" s="40"/>
      <c r="V12" s="40"/>
      <c r="W12" s="40"/>
      <c r="X12" s="40"/>
      <c r="Y12" s="40"/>
      <c r="Z12" s="40"/>
      <c r="AA12" s="40"/>
      <c r="AB12" s="40"/>
    </row>
    <row r="13">
      <c r="A13" s="51" t="s">
        <v>27</v>
      </c>
      <c r="B13" s="74">
        <f t="shared" ref="B13:H13" si="11">B9/B6</f>
        <v>0.08189655172</v>
      </c>
      <c r="C13" s="74">
        <f t="shared" si="11"/>
        <v>0.06754221388</v>
      </c>
      <c r="D13" s="74">
        <f t="shared" si="11"/>
        <v>0.08108108108</v>
      </c>
      <c r="E13" s="74" t="str">
        <f t="shared" si="11"/>
        <v>#DIV/0!</v>
      </c>
      <c r="F13" s="74" t="str">
        <f t="shared" si="11"/>
        <v>#DIV/0!</v>
      </c>
      <c r="G13" s="75">
        <f t="shared" si="11"/>
        <v>0.07633587786</v>
      </c>
      <c r="H13" s="76">
        <f t="shared" si="11"/>
        <v>0.0796812749</v>
      </c>
      <c r="I13" s="72"/>
      <c r="J13" s="73">
        <f>J9/J6</f>
        <v>0.07633587786</v>
      </c>
      <c r="K13" s="57"/>
      <c r="Q13" s="58"/>
      <c r="R13" s="40"/>
      <c r="S13" s="40"/>
      <c r="T13" s="40"/>
      <c r="U13" s="40"/>
      <c r="V13" s="40"/>
      <c r="W13" s="40"/>
      <c r="X13" s="40"/>
      <c r="Y13" s="40"/>
      <c r="Z13" s="40"/>
      <c r="AA13" s="40"/>
      <c r="AB13" s="40"/>
    </row>
    <row r="14">
      <c r="A14" s="51" t="s">
        <v>49</v>
      </c>
      <c r="B14" s="63">
        <v>3.0</v>
      </c>
      <c r="C14" s="63">
        <v>1.0</v>
      </c>
      <c r="D14" s="63">
        <v>3.0</v>
      </c>
      <c r="E14" s="63"/>
      <c r="F14" s="63"/>
      <c r="G14" s="64">
        <f>SUM(B14:F14)</f>
        <v>7</v>
      </c>
      <c r="H14" s="76"/>
      <c r="I14" s="72"/>
      <c r="J14" s="73"/>
      <c r="K14" s="57"/>
      <c r="Q14" s="58"/>
      <c r="R14" s="40"/>
      <c r="S14" s="40"/>
      <c r="T14" s="40"/>
      <c r="U14" s="40"/>
      <c r="V14" s="40"/>
      <c r="W14" s="40"/>
      <c r="X14" s="40"/>
      <c r="Y14" s="40"/>
      <c r="Z14" s="40"/>
      <c r="AA14" s="40"/>
      <c r="AB14" s="40"/>
    </row>
    <row r="15">
      <c r="A15" s="51" t="s">
        <v>50</v>
      </c>
      <c r="B15" s="52">
        <f t="shared" ref="B15:G15" si="12">B4/B14</f>
        <v>580823</v>
      </c>
      <c r="C15" s="52">
        <f t="shared" si="12"/>
        <v>1879697</v>
      </c>
      <c r="D15" s="52">
        <f t="shared" si="12"/>
        <v>651017</v>
      </c>
      <c r="E15" s="63" t="str">
        <f t="shared" si="12"/>
        <v>#DIV/0!</v>
      </c>
      <c r="F15" s="63" t="str">
        <f t="shared" si="12"/>
        <v>#DIV/0!</v>
      </c>
      <c r="G15" s="77">
        <f t="shared" si="12"/>
        <v>796459.5714</v>
      </c>
      <c r="H15" s="76"/>
      <c r="I15" s="72"/>
      <c r="J15" s="73"/>
      <c r="K15" s="57"/>
      <c r="Q15" s="58"/>
      <c r="R15" s="40"/>
      <c r="S15" s="40"/>
      <c r="T15" s="40"/>
      <c r="U15" s="40"/>
      <c r="V15" s="40"/>
      <c r="W15" s="40"/>
      <c r="X15" s="40"/>
      <c r="Y15" s="40"/>
      <c r="Z15" s="40"/>
      <c r="AA15" s="40"/>
      <c r="AB15" s="40"/>
    </row>
    <row r="16">
      <c r="A16" s="51" t="s">
        <v>51</v>
      </c>
      <c r="B16" s="59">
        <f t="shared" ref="B16:G16" si="13">B15/$B$1</f>
        <v>389.814094</v>
      </c>
      <c r="C16" s="59">
        <f t="shared" si="13"/>
        <v>1261.541611</v>
      </c>
      <c r="D16" s="59">
        <f t="shared" si="13"/>
        <v>436.9241611</v>
      </c>
      <c r="E16" s="59" t="str">
        <f t="shared" si="13"/>
        <v>#DIV/0!</v>
      </c>
      <c r="F16" s="59" t="str">
        <f t="shared" si="13"/>
        <v>#DIV/0!</v>
      </c>
      <c r="G16" s="60">
        <f t="shared" si="13"/>
        <v>534.5366251</v>
      </c>
      <c r="H16" s="76"/>
      <c r="I16" s="72"/>
      <c r="J16" s="73"/>
      <c r="K16" s="57"/>
      <c r="Q16" s="58"/>
      <c r="R16" s="40"/>
      <c r="S16" s="40"/>
      <c r="T16" s="40"/>
      <c r="U16" s="40"/>
      <c r="V16" s="40"/>
      <c r="W16" s="40"/>
      <c r="X16" s="40"/>
      <c r="Y16" s="40"/>
      <c r="Z16" s="40"/>
      <c r="AA16" s="40"/>
      <c r="AB16" s="40"/>
    </row>
    <row r="17">
      <c r="A17" s="51" t="s">
        <v>52</v>
      </c>
      <c r="B17" s="74">
        <f t="shared" ref="B17:G17" si="14">B14/B6</f>
        <v>0.006465517241</v>
      </c>
      <c r="C17" s="74">
        <f t="shared" si="14"/>
        <v>0.001876172608</v>
      </c>
      <c r="D17" s="74">
        <f t="shared" si="14"/>
        <v>0.006756756757</v>
      </c>
      <c r="E17" s="74" t="str">
        <f t="shared" si="14"/>
        <v>#DIV/0!</v>
      </c>
      <c r="F17" s="74" t="str">
        <f t="shared" si="14"/>
        <v>#DIV/0!</v>
      </c>
      <c r="G17" s="75">
        <f t="shared" si="14"/>
        <v>0.004857737682</v>
      </c>
      <c r="H17" s="76"/>
      <c r="I17" s="72"/>
      <c r="J17" s="73"/>
      <c r="K17" s="57"/>
      <c r="Q17" s="58"/>
      <c r="R17" s="40"/>
      <c r="S17" s="40"/>
      <c r="T17" s="40"/>
      <c r="U17" s="40"/>
      <c r="V17" s="40"/>
      <c r="W17" s="40"/>
      <c r="X17" s="40"/>
      <c r="Y17" s="40"/>
      <c r="Z17" s="40"/>
      <c r="AA17" s="40"/>
      <c r="AB17" s="40"/>
    </row>
    <row r="18">
      <c r="A18" s="51" t="s">
        <v>28</v>
      </c>
      <c r="B18" s="63"/>
      <c r="C18" s="63"/>
      <c r="D18" s="63">
        <v>2.5</v>
      </c>
      <c r="E18" s="63"/>
      <c r="F18" s="63"/>
      <c r="G18" s="64">
        <f>SUM(B18:F18)</f>
        <v>2.5</v>
      </c>
      <c r="H18" s="78"/>
      <c r="I18" s="72"/>
      <c r="J18" s="79">
        <f>$G18/$G$1*30</f>
        <v>3.947368421</v>
      </c>
      <c r="K18" s="57"/>
      <c r="Q18" s="58"/>
      <c r="R18" s="40"/>
      <c r="S18" s="40"/>
      <c r="T18" s="40"/>
      <c r="U18" s="40"/>
      <c r="V18" s="40"/>
      <c r="W18" s="40"/>
      <c r="X18" s="40"/>
      <c r="Y18" s="40"/>
      <c r="Z18" s="40"/>
      <c r="AA18" s="40"/>
      <c r="AB18" s="40"/>
    </row>
    <row r="19">
      <c r="A19" s="51" t="s">
        <v>53</v>
      </c>
      <c r="B19" s="69" t="str">
        <f>B5/B18</f>
        <v>#DIV/0!</v>
      </c>
      <c r="C19" s="69" t="str">
        <f>C4/C18</f>
        <v>#DIV/0!</v>
      </c>
      <c r="D19" s="63">
        <v>100.0</v>
      </c>
      <c r="E19" s="69" t="str">
        <f t="shared" ref="E19:F19" si="15">E4/E18</f>
        <v>#DIV/0!</v>
      </c>
      <c r="F19" s="69" t="str">
        <f t="shared" si="15"/>
        <v>#DIV/0!</v>
      </c>
      <c r="G19" s="53">
        <f t="shared" ref="G19:G20" si="17">G4/G$18</f>
        <v>2230086.8</v>
      </c>
      <c r="H19" s="78"/>
      <c r="I19" s="72"/>
      <c r="J19" s="71">
        <f>J4/J18</f>
        <v>2230086.8</v>
      </c>
      <c r="K19" s="57"/>
      <c r="Q19" s="58"/>
      <c r="R19" s="40"/>
      <c r="S19" s="40"/>
      <c r="T19" s="40"/>
      <c r="U19" s="40"/>
      <c r="V19" s="40"/>
      <c r="W19" s="40"/>
      <c r="X19" s="40"/>
      <c r="Y19" s="40"/>
      <c r="Z19" s="40"/>
      <c r="AA19" s="40"/>
      <c r="AB19" s="40"/>
    </row>
    <row r="20">
      <c r="A20" s="51" t="s">
        <v>30</v>
      </c>
      <c r="B20" s="59" t="str">
        <f t="shared" ref="B20:F20" si="16">B19/$B$1</f>
        <v>#DIV/0!</v>
      </c>
      <c r="C20" s="59" t="str">
        <f t="shared" si="16"/>
        <v>#DIV/0!</v>
      </c>
      <c r="D20" s="59">
        <f t="shared" si="16"/>
        <v>0.06711409396</v>
      </c>
      <c r="E20" s="59" t="str">
        <f t="shared" si="16"/>
        <v>#DIV/0!</v>
      </c>
      <c r="F20" s="59" t="str">
        <f t="shared" si="16"/>
        <v>#DIV/0!</v>
      </c>
      <c r="G20" s="60">
        <f t="shared" si="17"/>
        <v>1496.70255</v>
      </c>
      <c r="H20" s="78"/>
      <c r="I20" s="72"/>
      <c r="J20" s="80"/>
      <c r="K20" s="57"/>
      <c r="Q20" s="58"/>
      <c r="R20" s="40"/>
      <c r="S20" s="40"/>
      <c r="T20" s="40"/>
      <c r="U20" s="40"/>
      <c r="V20" s="40"/>
      <c r="W20" s="40"/>
      <c r="X20" s="40"/>
      <c r="Y20" s="40"/>
      <c r="Z20" s="40"/>
      <c r="AA20" s="40"/>
      <c r="AB20" s="40"/>
    </row>
    <row r="21">
      <c r="A21" s="51" t="s">
        <v>32</v>
      </c>
      <c r="B21" s="74">
        <f t="shared" ref="B21:G21" si="18">B18/B6</f>
        <v>0</v>
      </c>
      <c r="C21" s="74">
        <f t="shared" si="18"/>
        <v>0</v>
      </c>
      <c r="D21" s="74">
        <f t="shared" si="18"/>
        <v>0.005630630631</v>
      </c>
      <c r="E21" s="74" t="str">
        <f t="shared" si="18"/>
        <v>#DIV/0!</v>
      </c>
      <c r="F21" s="74" t="str">
        <f t="shared" si="18"/>
        <v>#DIV/0!</v>
      </c>
      <c r="G21" s="75">
        <f t="shared" si="18"/>
        <v>0.001734906315</v>
      </c>
      <c r="H21" s="78"/>
      <c r="I21" s="72"/>
      <c r="J21" s="80">
        <f>J18/J6</f>
        <v>0.001734906315</v>
      </c>
      <c r="K21" s="81"/>
      <c r="L21" s="82"/>
      <c r="M21" s="82"/>
      <c r="N21" s="82"/>
      <c r="O21" s="82"/>
      <c r="P21" s="82"/>
      <c r="Q21" s="83"/>
      <c r="R21" s="40"/>
      <c r="S21" s="40"/>
      <c r="T21" s="40"/>
      <c r="U21" s="40"/>
      <c r="V21" s="40"/>
      <c r="W21" s="40"/>
      <c r="X21" s="40"/>
      <c r="Y21" s="40"/>
      <c r="Z21" s="40"/>
      <c r="AA21" s="40"/>
      <c r="AB21" s="40"/>
    </row>
    <row r="22">
      <c r="A22" s="40"/>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row>
    <row r="23">
      <c r="A23" s="84" t="s">
        <v>54</v>
      </c>
      <c r="B23" s="40"/>
      <c r="C23" s="40"/>
      <c r="D23" s="40"/>
      <c r="E23" s="40"/>
      <c r="F23" s="40"/>
      <c r="G23" s="40"/>
      <c r="H23" s="40"/>
      <c r="I23" s="40"/>
      <c r="J23" s="40"/>
      <c r="K23" s="40"/>
      <c r="L23" s="40"/>
      <c r="M23" s="40"/>
      <c r="N23" s="40"/>
      <c r="O23" s="40"/>
      <c r="P23" s="40"/>
      <c r="Q23" s="40"/>
      <c r="R23" s="40"/>
      <c r="S23" s="40"/>
      <c r="T23" s="40"/>
      <c r="U23" s="40"/>
      <c r="V23" s="40"/>
      <c r="W23" s="40"/>
      <c r="X23" s="40"/>
      <c r="Y23" s="40"/>
      <c r="Z23" s="40"/>
      <c r="AA23" s="40"/>
      <c r="AB23" s="40"/>
    </row>
    <row r="24">
      <c r="A24" s="7" t="s">
        <v>3</v>
      </c>
      <c r="B24" s="44" t="s">
        <v>38</v>
      </c>
      <c r="C24" s="44" t="s">
        <v>39</v>
      </c>
      <c r="D24" s="44" t="s">
        <v>40</v>
      </c>
      <c r="E24" s="44" t="s">
        <v>41</v>
      </c>
      <c r="F24" s="44" t="s">
        <v>42</v>
      </c>
      <c r="G24" s="44" t="s">
        <v>43</v>
      </c>
      <c r="H24" s="45" t="s">
        <v>17</v>
      </c>
      <c r="I24" s="47" t="s">
        <v>45</v>
      </c>
      <c r="J24" s="40"/>
      <c r="K24" s="48"/>
      <c r="L24" s="49"/>
      <c r="M24" s="49"/>
      <c r="N24" s="49"/>
      <c r="O24" s="49"/>
      <c r="P24" s="49"/>
      <c r="Q24" s="50"/>
      <c r="R24" s="40"/>
      <c r="S24" s="40"/>
      <c r="T24" s="40"/>
      <c r="U24" s="40"/>
      <c r="V24" s="40"/>
      <c r="W24" s="40"/>
      <c r="X24" s="40"/>
      <c r="Y24" s="40"/>
      <c r="Z24" s="40"/>
      <c r="AA24" s="40"/>
      <c r="AB24" s="40"/>
    </row>
    <row r="25">
      <c r="A25" s="51" t="s">
        <v>19</v>
      </c>
      <c r="B25" s="67">
        <f>119987+302930</f>
        <v>422917</v>
      </c>
      <c r="C25" s="67">
        <f>164508+357076</f>
        <v>521584</v>
      </c>
      <c r="D25" s="67"/>
      <c r="E25" s="67"/>
      <c r="F25" s="67"/>
      <c r="G25" s="77">
        <f t="shared" ref="G25:G27" si="20">SUM(B25:F25)</f>
        <v>944501</v>
      </c>
      <c r="H25" s="85">
        <f>B169</f>
        <v>2100000</v>
      </c>
      <c r="I25" s="56">
        <f>$G25/$G$1*30</f>
        <v>1491317.368</v>
      </c>
      <c r="J25" s="86">
        <f>(H25-G25)/15</f>
        <v>77033.26667</v>
      </c>
      <c r="K25" s="57"/>
      <c r="Q25" s="58"/>
      <c r="R25" s="40"/>
      <c r="S25" s="40"/>
      <c r="T25" s="40"/>
      <c r="U25" s="40"/>
      <c r="V25" s="40"/>
      <c r="W25" s="40"/>
      <c r="X25" s="40"/>
      <c r="Y25" s="40"/>
      <c r="Z25" s="40"/>
      <c r="AA25" s="40"/>
      <c r="AB25" s="40"/>
    </row>
    <row r="26">
      <c r="A26" s="51" t="s">
        <v>20</v>
      </c>
      <c r="B26" s="59">
        <f t="shared" ref="B26:F26" si="19">B25/$B$1</f>
        <v>283.8369128</v>
      </c>
      <c r="C26" s="59">
        <f t="shared" si="19"/>
        <v>350.0563758</v>
      </c>
      <c r="D26" s="59">
        <f t="shared" si="19"/>
        <v>0</v>
      </c>
      <c r="E26" s="59">
        <f t="shared" si="19"/>
        <v>0</v>
      </c>
      <c r="F26" s="59">
        <f t="shared" si="19"/>
        <v>0</v>
      </c>
      <c r="G26" s="60">
        <f t="shared" si="20"/>
        <v>633.8932886</v>
      </c>
      <c r="H26" s="87">
        <f t="shared" ref="H26:I26" si="21">H25/$B$1</f>
        <v>1409.395973</v>
      </c>
      <c r="I26" s="88">
        <f t="shared" si="21"/>
        <v>1000.88414</v>
      </c>
      <c r="J26" s="89">
        <f>H26/$H$5</f>
        <v>0.2372881356</v>
      </c>
      <c r="K26" s="57"/>
      <c r="Q26" s="58"/>
      <c r="R26" s="40"/>
      <c r="S26" s="40"/>
      <c r="T26" s="40"/>
      <c r="U26" s="40"/>
      <c r="V26" s="40"/>
      <c r="W26" s="40"/>
      <c r="X26" s="40"/>
      <c r="Y26" s="40"/>
      <c r="Z26" s="40"/>
      <c r="AA26" s="40"/>
      <c r="AB26" s="40"/>
    </row>
    <row r="27">
      <c r="A27" s="51" t="s">
        <v>21</v>
      </c>
      <c r="B27" s="63">
        <v>62.0</v>
      </c>
      <c r="C27" s="63">
        <v>51.0</v>
      </c>
      <c r="D27" s="63"/>
      <c r="E27" s="63"/>
      <c r="F27" s="63"/>
      <c r="G27" s="64">
        <f t="shared" si="20"/>
        <v>113</v>
      </c>
      <c r="H27" s="65">
        <f>B172</f>
        <v>381.8181818</v>
      </c>
      <c r="I27" s="66">
        <f>$G27/$G$1*30</f>
        <v>178.4210526</v>
      </c>
      <c r="J27" s="40"/>
      <c r="K27" s="57"/>
      <c r="Q27" s="58"/>
      <c r="R27" s="40"/>
      <c r="S27" s="40"/>
      <c r="T27" s="40"/>
      <c r="U27" s="40"/>
      <c r="V27" s="40"/>
      <c r="W27" s="40"/>
      <c r="X27" s="40"/>
      <c r="Y27" s="40"/>
      <c r="Z27" s="40"/>
      <c r="AA27" s="40"/>
      <c r="AB27" s="40"/>
    </row>
    <row r="28">
      <c r="A28" s="51" t="s">
        <v>22</v>
      </c>
      <c r="B28" s="90">
        <f t="shared" ref="B28:F28" si="22">B25/B27</f>
        <v>6821.241935</v>
      </c>
      <c r="C28" s="90">
        <f t="shared" si="22"/>
        <v>10227.13725</v>
      </c>
      <c r="D28" s="69" t="str">
        <f t="shared" si="22"/>
        <v>#DIV/0!</v>
      </c>
      <c r="E28" s="90" t="str">
        <f t="shared" si="22"/>
        <v>#DIV/0!</v>
      </c>
      <c r="F28" s="90" t="str">
        <f t="shared" si="22"/>
        <v>#DIV/0!</v>
      </c>
      <c r="G28" s="77">
        <f t="shared" ref="G28:G29" si="25">G25/G$27</f>
        <v>8358.415929</v>
      </c>
      <c r="H28" s="91">
        <f t="shared" ref="H28:I28" si="23">H25/H27</f>
        <v>5500</v>
      </c>
      <c r="I28" s="56">
        <f t="shared" si="23"/>
        <v>8358.415929</v>
      </c>
      <c r="J28" s="40"/>
      <c r="K28" s="57"/>
      <c r="Q28" s="58"/>
      <c r="R28" s="40"/>
      <c r="S28" s="40"/>
      <c r="T28" s="40"/>
      <c r="U28" s="40"/>
      <c r="V28" s="40"/>
      <c r="W28" s="40"/>
      <c r="X28" s="40"/>
      <c r="Y28" s="40"/>
      <c r="Z28" s="40"/>
      <c r="AA28" s="40"/>
      <c r="AB28" s="40"/>
    </row>
    <row r="29">
      <c r="A29" s="51" t="s">
        <v>23</v>
      </c>
      <c r="B29" s="59">
        <f t="shared" ref="B29:F29" si="24">B28/$B$1</f>
        <v>4.578014722</v>
      </c>
      <c r="C29" s="59">
        <f t="shared" si="24"/>
        <v>6.863850507</v>
      </c>
      <c r="D29" s="59" t="str">
        <f t="shared" si="24"/>
        <v>#DIV/0!</v>
      </c>
      <c r="E29" s="59" t="str">
        <f t="shared" si="24"/>
        <v>#DIV/0!</v>
      </c>
      <c r="F29" s="59" t="str">
        <f t="shared" si="24"/>
        <v>#DIV/0!</v>
      </c>
      <c r="G29" s="60">
        <f t="shared" si="25"/>
        <v>5.60967512</v>
      </c>
      <c r="H29" s="87">
        <f t="shared" ref="H29:I29" si="26">H28/$B$1</f>
        <v>3.691275168</v>
      </c>
      <c r="I29" s="88">
        <f t="shared" si="26"/>
        <v>5.60967512</v>
      </c>
      <c r="J29" s="40"/>
      <c r="K29" s="57"/>
      <c r="Q29" s="58"/>
      <c r="R29" s="40"/>
      <c r="S29" s="40"/>
      <c r="T29" s="40"/>
      <c r="U29" s="40"/>
      <c r="V29" s="40"/>
      <c r="W29" s="40"/>
      <c r="X29" s="40"/>
      <c r="Y29" s="40"/>
      <c r="Z29" s="40"/>
      <c r="AA29" s="40"/>
      <c r="AB29" s="40"/>
    </row>
    <row r="30">
      <c r="A30" s="51" t="s">
        <v>24</v>
      </c>
      <c r="B30" s="63">
        <v>8.0</v>
      </c>
      <c r="C30" s="63">
        <v>6.0</v>
      </c>
      <c r="D30" s="63"/>
      <c r="E30" s="63"/>
      <c r="F30" s="63"/>
      <c r="G30" s="64">
        <f>SUM(B30:F30)</f>
        <v>14</v>
      </c>
      <c r="H30" s="65">
        <f>B174</f>
        <v>38.18181818</v>
      </c>
      <c r="I30" s="66">
        <f>$G30/$G$1*30</f>
        <v>22.10526316</v>
      </c>
      <c r="J30" s="40"/>
      <c r="K30" s="57"/>
      <c r="Q30" s="58"/>
      <c r="R30" s="40"/>
      <c r="S30" s="40"/>
      <c r="T30" s="40"/>
      <c r="U30" s="40"/>
      <c r="V30" s="40"/>
      <c r="W30" s="40"/>
      <c r="X30" s="40"/>
      <c r="Y30" s="40"/>
      <c r="Z30" s="40"/>
      <c r="AA30" s="40"/>
      <c r="AB30" s="40"/>
    </row>
    <row r="31">
      <c r="A31" s="51" t="s">
        <v>25</v>
      </c>
      <c r="B31" s="90">
        <f t="shared" ref="B31:F31" si="27">B25/B30</f>
        <v>52864.625</v>
      </c>
      <c r="C31" s="90">
        <f t="shared" si="27"/>
        <v>86930.66667</v>
      </c>
      <c r="D31" s="69" t="str">
        <f t="shared" si="27"/>
        <v>#DIV/0!</v>
      </c>
      <c r="E31" s="90" t="str">
        <f t="shared" si="27"/>
        <v>#DIV/0!</v>
      </c>
      <c r="F31" s="90" t="str">
        <f t="shared" si="27"/>
        <v>#DIV/0!</v>
      </c>
      <c r="G31" s="77">
        <f t="shared" ref="G31:G32" si="30">G25/G$30</f>
        <v>67464.35714</v>
      </c>
      <c r="H31" s="91">
        <f t="shared" ref="H31:I31" si="28">H25/H30</f>
        <v>55000</v>
      </c>
      <c r="I31" s="71">
        <f t="shared" si="28"/>
        <v>67464.35714</v>
      </c>
      <c r="J31" s="40"/>
      <c r="K31" s="57"/>
      <c r="Q31" s="58"/>
      <c r="R31" s="40"/>
      <c r="S31" s="40"/>
      <c r="T31" s="40"/>
      <c r="U31" s="40"/>
      <c r="V31" s="40"/>
      <c r="W31" s="40"/>
      <c r="X31" s="40"/>
      <c r="Y31" s="40"/>
      <c r="Z31" s="40"/>
      <c r="AA31" s="40"/>
      <c r="AB31" s="40"/>
    </row>
    <row r="32">
      <c r="A32" s="51" t="s">
        <v>26</v>
      </c>
      <c r="B32" s="59">
        <f t="shared" ref="B32:F32" si="29">B31/$B$1</f>
        <v>35.47961409</v>
      </c>
      <c r="C32" s="59">
        <f t="shared" si="29"/>
        <v>58.34272931</v>
      </c>
      <c r="D32" s="59" t="str">
        <f t="shared" si="29"/>
        <v>#DIV/0!</v>
      </c>
      <c r="E32" s="59" t="str">
        <f t="shared" si="29"/>
        <v>#DIV/0!</v>
      </c>
      <c r="F32" s="59" t="str">
        <f t="shared" si="29"/>
        <v>#DIV/0!</v>
      </c>
      <c r="G32" s="60">
        <f t="shared" si="30"/>
        <v>45.27809204</v>
      </c>
      <c r="H32" s="87">
        <f t="shared" ref="H32:I32" si="31">H31/$B$1</f>
        <v>36.91275168</v>
      </c>
      <c r="I32" s="88">
        <f t="shared" si="31"/>
        <v>45.27809204</v>
      </c>
      <c r="J32" s="40"/>
      <c r="K32" s="57"/>
      <c r="Q32" s="58"/>
      <c r="R32" s="40"/>
      <c r="S32" s="40"/>
      <c r="T32" s="40"/>
      <c r="U32" s="40"/>
      <c r="V32" s="40"/>
      <c r="W32" s="40"/>
      <c r="X32" s="40"/>
      <c r="Y32" s="40"/>
      <c r="Z32" s="40"/>
      <c r="AA32" s="40"/>
      <c r="AB32" s="40"/>
    </row>
    <row r="33">
      <c r="A33" s="51" t="s">
        <v>27</v>
      </c>
      <c r="B33" s="74">
        <f t="shared" ref="B33:I33" si="32">B30/B27</f>
        <v>0.1290322581</v>
      </c>
      <c r="C33" s="74">
        <f t="shared" si="32"/>
        <v>0.1176470588</v>
      </c>
      <c r="D33" s="74" t="str">
        <f t="shared" si="32"/>
        <v>#DIV/0!</v>
      </c>
      <c r="E33" s="74" t="str">
        <f t="shared" si="32"/>
        <v>#DIV/0!</v>
      </c>
      <c r="F33" s="74" t="str">
        <f t="shared" si="32"/>
        <v>#DIV/0!</v>
      </c>
      <c r="G33" s="75">
        <f t="shared" si="32"/>
        <v>0.1238938053</v>
      </c>
      <c r="H33" s="92">
        <f t="shared" si="32"/>
        <v>0.1</v>
      </c>
      <c r="I33" s="73">
        <f t="shared" si="32"/>
        <v>0.1238938053</v>
      </c>
      <c r="J33" s="40"/>
      <c r="K33" s="57"/>
      <c r="Q33" s="58"/>
      <c r="R33" s="40"/>
      <c r="S33" s="40"/>
      <c r="T33" s="40"/>
      <c r="U33" s="40"/>
      <c r="V33" s="40"/>
      <c r="W33" s="40"/>
      <c r="X33" s="40"/>
      <c r="Y33" s="40"/>
      <c r="Z33" s="40"/>
      <c r="AA33" s="40"/>
      <c r="AB33" s="40"/>
    </row>
    <row r="34">
      <c r="A34" s="51" t="s">
        <v>28</v>
      </c>
      <c r="B34" s="63"/>
      <c r="C34" s="63"/>
      <c r="D34" s="63"/>
      <c r="E34" s="69"/>
      <c r="F34" s="69"/>
      <c r="G34" s="64">
        <f>SUM(B34:D34)</f>
        <v>0</v>
      </c>
      <c r="H34" s="78"/>
      <c r="I34" s="79">
        <f>$G34/$G$1*30</f>
        <v>0</v>
      </c>
      <c r="J34" s="40"/>
      <c r="K34" s="57"/>
      <c r="Q34" s="58"/>
      <c r="R34" s="40"/>
      <c r="S34" s="40"/>
      <c r="T34" s="40"/>
      <c r="U34" s="40"/>
      <c r="V34" s="40"/>
      <c r="W34" s="40"/>
      <c r="X34" s="40"/>
      <c r="Y34" s="40"/>
      <c r="Z34" s="40"/>
      <c r="AA34" s="40"/>
      <c r="AB34" s="40"/>
    </row>
    <row r="35">
      <c r="A35" s="51" t="s">
        <v>29</v>
      </c>
      <c r="B35" s="69"/>
      <c r="C35" s="69"/>
      <c r="D35" s="69"/>
      <c r="E35" s="69"/>
      <c r="F35" s="69"/>
      <c r="G35" s="64"/>
      <c r="H35" s="78"/>
      <c r="I35" s="93" t="str">
        <f>I25/I34</f>
        <v>#DIV/0!</v>
      </c>
      <c r="J35" s="40"/>
      <c r="K35" s="57"/>
      <c r="Q35" s="58"/>
      <c r="R35" s="40"/>
      <c r="S35" s="40"/>
      <c r="T35" s="40"/>
      <c r="U35" s="40"/>
      <c r="V35" s="40"/>
      <c r="W35" s="40"/>
      <c r="X35" s="40"/>
      <c r="Y35" s="40"/>
      <c r="Z35" s="40"/>
      <c r="AA35" s="40"/>
      <c r="AB35" s="40"/>
    </row>
    <row r="36">
      <c r="A36" s="51" t="s">
        <v>30</v>
      </c>
      <c r="B36" s="59">
        <f t="shared" ref="B36:D36" si="33">B35/$B$1</f>
        <v>0</v>
      </c>
      <c r="C36" s="59">
        <f t="shared" si="33"/>
        <v>0</v>
      </c>
      <c r="D36" s="59">
        <f t="shared" si="33"/>
        <v>0</v>
      </c>
      <c r="E36" s="69"/>
      <c r="F36" s="69"/>
      <c r="G36" s="64"/>
      <c r="H36" s="78"/>
      <c r="I36" s="80"/>
      <c r="J36" s="40"/>
      <c r="K36" s="57"/>
      <c r="Q36" s="58"/>
      <c r="R36" s="40"/>
      <c r="S36" s="40"/>
      <c r="T36" s="40"/>
      <c r="U36" s="40"/>
      <c r="V36" s="40"/>
      <c r="W36" s="40"/>
      <c r="X36" s="40"/>
      <c r="Y36" s="40"/>
      <c r="Z36" s="40"/>
      <c r="AA36" s="40"/>
      <c r="AB36" s="40"/>
    </row>
    <row r="37">
      <c r="A37" s="51" t="s">
        <v>32</v>
      </c>
      <c r="B37" s="69"/>
      <c r="C37" s="69"/>
      <c r="D37" s="69"/>
      <c r="E37" s="69"/>
      <c r="F37" s="69"/>
      <c r="G37" s="64"/>
      <c r="H37" s="78"/>
      <c r="I37" s="80">
        <f>I34/I27</f>
        <v>0</v>
      </c>
      <c r="J37" s="40"/>
      <c r="K37" s="81"/>
      <c r="L37" s="82"/>
      <c r="M37" s="82"/>
      <c r="N37" s="82"/>
      <c r="O37" s="82"/>
      <c r="P37" s="82"/>
      <c r="Q37" s="83"/>
      <c r="R37" s="40"/>
      <c r="S37" s="40"/>
      <c r="T37" s="40"/>
      <c r="U37" s="40"/>
      <c r="V37" s="40"/>
      <c r="W37" s="40"/>
      <c r="X37" s="40"/>
      <c r="Y37" s="40"/>
      <c r="Z37" s="40"/>
      <c r="AA37" s="40"/>
      <c r="AB37" s="40"/>
    </row>
    <row r="38">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row>
    <row r="39">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row>
    <row r="40">
      <c r="A40" s="94" t="s">
        <v>55</v>
      </c>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row>
    <row r="41">
      <c r="A41" s="7" t="s">
        <v>3</v>
      </c>
      <c r="B41" s="44" t="s">
        <v>38</v>
      </c>
      <c r="C41" s="44" t="s">
        <v>39</v>
      </c>
      <c r="D41" s="44" t="s">
        <v>40</v>
      </c>
      <c r="E41" s="44" t="s">
        <v>41</v>
      </c>
      <c r="F41" s="44" t="s">
        <v>42</v>
      </c>
      <c r="G41" s="44" t="s">
        <v>43</v>
      </c>
      <c r="H41" s="45" t="s">
        <v>17</v>
      </c>
      <c r="I41" s="47" t="s">
        <v>45</v>
      </c>
      <c r="J41" s="40"/>
      <c r="K41" s="95"/>
      <c r="L41" s="49"/>
      <c r="M41" s="49"/>
      <c r="N41" s="49"/>
      <c r="O41" s="49"/>
      <c r="P41" s="49"/>
      <c r="Q41" s="50"/>
      <c r="R41" s="40"/>
      <c r="S41" s="40"/>
      <c r="T41" s="40"/>
      <c r="U41" s="40"/>
      <c r="V41" s="40"/>
      <c r="W41" s="40"/>
      <c r="X41" s="40"/>
      <c r="Y41" s="40"/>
      <c r="Z41" s="40"/>
      <c r="AA41" s="40"/>
      <c r="AB41" s="40"/>
    </row>
    <row r="42">
      <c r="A42" s="51" t="s">
        <v>19</v>
      </c>
      <c r="B42" s="67">
        <f>123204+181007</f>
        <v>304211</v>
      </c>
      <c r="C42" s="67">
        <f>229423+164839</f>
        <v>394262</v>
      </c>
      <c r="D42" s="67"/>
      <c r="E42" s="67"/>
      <c r="F42" s="67"/>
      <c r="G42" s="77">
        <f t="shared" ref="G42:G44" si="35">SUM(B42:F42)</f>
        <v>698473</v>
      </c>
      <c r="H42" s="85">
        <f>C169</f>
        <v>2100000</v>
      </c>
      <c r="I42" s="56">
        <f>$G42/$G$1*30</f>
        <v>1102852.105</v>
      </c>
      <c r="J42" s="86">
        <f>(H42-G42)/15</f>
        <v>93435.13333</v>
      </c>
      <c r="K42" s="57"/>
      <c r="Q42" s="58"/>
      <c r="R42" s="40"/>
      <c r="S42" s="40"/>
      <c r="T42" s="40"/>
      <c r="U42" s="40"/>
      <c r="V42" s="40"/>
      <c r="W42" s="40"/>
      <c r="X42" s="40"/>
      <c r="Y42" s="40"/>
      <c r="Z42" s="40"/>
      <c r="AA42" s="40"/>
      <c r="AB42" s="40"/>
    </row>
    <row r="43">
      <c r="A43" s="51" t="s">
        <v>20</v>
      </c>
      <c r="B43" s="59">
        <f t="shared" ref="B43:F43" si="34">B42/$B$1</f>
        <v>204.1684564</v>
      </c>
      <c r="C43" s="59">
        <f t="shared" si="34"/>
        <v>264.6053691</v>
      </c>
      <c r="D43" s="59">
        <f t="shared" si="34"/>
        <v>0</v>
      </c>
      <c r="E43" s="59">
        <f t="shared" si="34"/>
        <v>0</v>
      </c>
      <c r="F43" s="59">
        <f t="shared" si="34"/>
        <v>0</v>
      </c>
      <c r="G43" s="60">
        <f t="shared" si="35"/>
        <v>468.7738255</v>
      </c>
      <c r="H43" s="87">
        <f>H42/$B$1</f>
        <v>1409.395973</v>
      </c>
      <c r="I43" s="66"/>
      <c r="J43" s="89">
        <f>H43/$H$5</f>
        <v>0.2372881356</v>
      </c>
      <c r="K43" s="57"/>
      <c r="Q43" s="58"/>
      <c r="R43" s="40"/>
      <c r="S43" s="40"/>
      <c r="T43" s="40"/>
      <c r="U43" s="40"/>
      <c r="V43" s="40"/>
      <c r="W43" s="40"/>
      <c r="X43" s="40"/>
      <c r="Y43" s="40"/>
      <c r="Z43" s="40"/>
      <c r="AA43" s="40"/>
      <c r="AB43" s="40"/>
    </row>
    <row r="44">
      <c r="A44" s="51" t="s">
        <v>21</v>
      </c>
      <c r="B44" s="63">
        <v>86.0</v>
      </c>
      <c r="C44" s="63">
        <v>78.0</v>
      </c>
      <c r="D44" s="63"/>
      <c r="E44" s="63"/>
      <c r="F44" s="63"/>
      <c r="G44" s="64">
        <f t="shared" si="35"/>
        <v>164</v>
      </c>
      <c r="H44" s="65">
        <f>C172</f>
        <v>466.6666667</v>
      </c>
      <c r="I44" s="66">
        <f>$G44/$G$1*30</f>
        <v>258.9473684</v>
      </c>
      <c r="J44" s="40"/>
      <c r="K44" s="57"/>
      <c r="Q44" s="58"/>
      <c r="R44" s="40"/>
      <c r="S44" s="40"/>
      <c r="T44" s="40"/>
      <c r="U44" s="40"/>
      <c r="V44" s="40"/>
      <c r="W44" s="40"/>
      <c r="X44" s="40"/>
      <c r="Y44" s="40"/>
      <c r="Z44" s="40"/>
      <c r="AA44" s="40"/>
      <c r="AB44" s="40"/>
    </row>
    <row r="45">
      <c r="A45" s="51" t="s">
        <v>22</v>
      </c>
      <c r="B45" s="90">
        <f t="shared" ref="B45:F45" si="36">B42/B44</f>
        <v>3537.337209</v>
      </c>
      <c r="C45" s="90">
        <f t="shared" si="36"/>
        <v>5054.641026</v>
      </c>
      <c r="D45" s="69" t="str">
        <f t="shared" si="36"/>
        <v>#DIV/0!</v>
      </c>
      <c r="E45" s="69" t="str">
        <f t="shared" si="36"/>
        <v>#DIV/0!</v>
      </c>
      <c r="F45" s="69" t="str">
        <f t="shared" si="36"/>
        <v>#DIV/0!</v>
      </c>
      <c r="G45" s="77">
        <f t="shared" ref="G45:G46" si="39">G42/G$44</f>
        <v>4258.981707</v>
      </c>
      <c r="H45" s="91">
        <f t="shared" ref="H45:I45" si="37">H42/H44</f>
        <v>4500</v>
      </c>
      <c r="I45" s="56">
        <f t="shared" si="37"/>
        <v>4258.981707</v>
      </c>
      <c r="J45" s="40"/>
      <c r="K45" s="57"/>
      <c r="Q45" s="58"/>
      <c r="R45" s="40"/>
      <c r="S45" s="40"/>
      <c r="T45" s="40"/>
      <c r="U45" s="40"/>
      <c r="V45" s="40"/>
      <c r="W45" s="40"/>
      <c r="X45" s="40"/>
      <c r="Y45" s="40"/>
      <c r="Z45" s="40"/>
      <c r="AA45" s="40"/>
      <c r="AB45" s="40"/>
    </row>
    <row r="46">
      <c r="A46" s="51" t="s">
        <v>23</v>
      </c>
      <c r="B46" s="59">
        <f t="shared" ref="B46:F46" si="38">B45/$B$1</f>
        <v>2.374051818</v>
      </c>
      <c r="C46" s="59">
        <f t="shared" si="38"/>
        <v>3.392376527</v>
      </c>
      <c r="D46" s="59" t="str">
        <f t="shared" si="38"/>
        <v>#DIV/0!</v>
      </c>
      <c r="E46" s="59" t="str">
        <f t="shared" si="38"/>
        <v>#DIV/0!</v>
      </c>
      <c r="F46" s="59" t="str">
        <f t="shared" si="38"/>
        <v>#DIV/0!</v>
      </c>
      <c r="G46" s="60">
        <f t="shared" si="39"/>
        <v>2.858376985</v>
      </c>
      <c r="H46" s="87">
        <f>H45/$B$1</f>
        <v>3.020134228</v>
      </c>
      <c r="I46" s="66"/>
      <c r="J46" s="40"/>
      <c r="K46" s="57"/>
      <c r="Q46" s="58"/>
      <c r="R46" s="40"/>
      <c r="S46" s="40"/>
      <c r="T46" s="40"/>
      <c r="U46" s="40"/>
      <c r="V46" s="40"/>
      <c r="W46" s="40"/>
      <c r="X46" s="40"/>
      <c r="Y46" s="40"/>
      <c r="Z46" s="40"/>
      <c r="AA46" s="40"/>
      <c r="AB46" s="40"/>
    </row>
    <row r="47">
      <c r="A47" s="51" t="s">
        <v>24</v>
      </c>
      <c r="B47" s="63">
        <v>7.0</v>
      </c>
      <c r="C47" s="63">
        <v>6.0</v>
      </c>
      <c r="D47" s="63"/>
      <c r="E47" s="63"/>
      <c r="F47" s="63"/>
      <c r="G47" s="64">
        <f>SUM(B47:F47)</f>
        <v>13</v>
      </c>
      <c r="H47" s="65">
        <f>C174</f>
        <v>23.33333333</v>
      </c>
      <c r="I47" s="66">
        <f>$G47/$G$1*30</f>
        <v>20.52631579</v>
      </c>
      <c r="J47" s="40"/>
      <c r="K47" s="57"/>
      <c r="Q47" s="58"/>
      <c r="R47" s="40"/>
      <c r="S47" s="40"/>
      <c r="T47" s="40"/>
      <c r="U47" s="40"/>
      <c r="V47" s="40"/>
      <c r="W47" s="40"/>
      <c r="X47" s="40"/>
      <c r="Y47" s="40"/>
      <c r="Z47" s="40"/>
      <c r="AA47" s="40"/>
      <c r="AB47" s="40"/>
    </row>
    <row r="48">
      <c r="A48" s="51" t="s">
        <v>25</v>
      </c>
      <c r="B48" s="90">
        <f t="shared" ref="B48:F48" si="40">B42/B47</f>
        <v>43458.71429</v>
      </c>
      <c r="C48" s="90">
        <f t="shared" si="40"/>
        <v>65710.33333</v>
      </c>
      <c r="D48" s="69" t="str">
        <f t="shared" si="40"/>
        <v>#DIV/0!</v>
      </c>
      <c r="E48" s="69" t="str">
        <f t="shared" si="40"/>
        <v>#DIV/0!</v>
      </c>
      <c r="F48" s="69" t="str">
        <f t="shared" si="40"/>
        <v>#DIV/0!</v>
      </c>
      <c r="G48" s="77">
        <f t="shared" ref="G48:G49" si="43">G42/G$47</f>
        <v>53728.69231</v>
      </c>
      <c r="H48" s="91">
        <f t="shared" ref="H48:I48" si="41">H42/H47</f>
        <v>90000</v>
      </c>
      <c r="I48" s="71">
        <f t="shared" si="41"/>
        <v>53728.69231</v>
      </c>
      <c r="J48" s="40"/>
      <c r="K48" s="57"/>
      <c r="Q48" s="58"/>
      <c r="R48" s="40"/>
      <c r="S48" s="40"/>
      <c r="T48" s="40"/>
      <c r="U48" s="40"/>
      <c r="V48" s="40"/>
      <c r="W48" s="40"/>
      <c r="X48" s="40"/>
      <c r="Y48" s="40"/>
      <c r="Z48" s="40"/>
      <c r="AA48" s="40"/>
      <c r="AB48" s="40"/>
    </row>
    <row r="49">
      <c r="A49" s="51" t="s">
        <v>26</v>
      </c>
      <c r="B49" s="59">
        <f t="shared" ref="B49:F49" si="42">B48/$B$1</f>
        <v>29.16692234</v>
      </c>
      <c r="C49" s="59">
        <f t="shared" si="42"/>
        <v>44.10089485</v>
      </c>
      <c r="D49" s="59" t="str">
        <f t="shared" si="42"/>
        <v>#DIV/0!</v>
      </c>
      <c r="E49" s="59" t="str">
        <f t="shared" si="42"/>
        <v>#DIV/0!</v>
      </c>
      <c r="F49" s="59" t="str">
        <f t="shared" si="42"/>
        <v>#DIV/0!</v>
      </c>
      <c r="G49" s="60">
        <f t="shared" si="43"/>
        <v>36.05952504</v>
      </c>
      <c r="H49" s="87">
        <f>H48/$B$1</f>
        <v>60.40268456</v>
      </c>
      <c r="I49" s="73"/>
      <c r="J49" s="40"/>
      <c r="K49" s="57"/>
      <c r="Q49" s="58"/>
      <c r="R49" s="40"/>
      <c r="S49" s="40"/>
      <c r="T49" s="40"/>
      <c r="U49" s="40"/>
      <c r="V49" s="40"/>
      <c r="W49" s="40"/>
      <c r="X49" s="40"/>
      <c r="Y49" s="40"/>
      <c r="Z49" s="40"/>
      <c r="AA49" s="40"/>
      <c r="AB49" s="40"/>
    </row>
    <row r="50">
      <c r="A50" s="51" t="s">
        <v>27</v>
      </c>
      <c r="B50" s="74">
        <f t="shared" ref="B50:I50" si="44">B47/B44</f>
        <v>0.08139534884</v>
      </c>
      <c r="C50" s="74">
        <f t="shared" si="44"/>
        <v>0.07692307692</v>
      </c>
      <c r="D50" s="74" t="str">
        <f t="shared" si="44"/>
        <v>#DIV/0!</v>
      </c>
      <c r="E50" s="74" t="str">
        <f t="shared" si="44"/>
        <v>#DIV/0!</v>
      </c>
      <c r="F50" s="74" t="str">
        <f t="shared" si="44"/>
        <v>#DIV/0!</v>
      </c>
      <c r="G50" s="75">
        <f t="shared" si="44"/>
        <v>0.07926829268</v>
      </c>
      <c r="H50" s="92">
        <f t="shared" si="44"/>
        <v>0.05</v>
      </c>
      <c r="I50" s="73">
        <f t="shared" si="44"/>
        <v>0.07926829268</v>
      </c>
      <c r="J50" s="40"/>
      <c r="K50" s="57"/>
      <c r="Q50" s="58"/>
      <c r="R50" s="40"/>
      <c r="S50" s="40"/>
      <c r="T50" s="40"/>
      <c r="U50" s="40"/>
      <c r="V50" s="40"/>
      <c r="W50" s="40"/>
      <c r="X50" s="40"/>
      <c r="Y50" s="40"/>
      <c r="Z50" s="40"/>
      <c r="AA50" s="40"/>
      <c r="AB50" s="40"/>
    </row>
    <row r="51">
      <c r="A51" s="51" t="s">
        <v>28</v>
      </c>
      <c r="B51" s="63">
        <v>0.0</v>
      </c>
      <c r="C51" s="63"/>
      <c r="D51" s="63"/>
      <c r="E51" s="69"/>
      <c r="F51" s="69"/>
      <c r="G51" s="64">
        <f>SUM(B51:D51)</f>
        <v>0</v>
      </c>
      <c r="H51" s="78"/>
      <c r="I51" s="79">
        <f>$G51/$G$1*30</f>
        <v>0</v>
      </c>
      <c r="J51" s="40"/>
      <c r="K51" s="57"/>
      <c r="Q51" s="58"/>
      <c r="R51" s="40"/>
      <c r="S51" s="40"/>
      <c r="T51" s="40"/>
      <c r="U51" s="40"/>
      <c r="V51" s="40"/>
      <c r="W51" s="40"/>
      <c r="X51" s="40"/>
      <c r="Y51" s="40"/>
      <c r="Z51" s="40"/>
      <c r="AA51" s="40"/>
      <c r="AB51" s="40"/>
    </row>
    <row r="52">
      <c r="A52" s="51" t="s">
        <v>29</v>
      </c>
      <c r="B52" s="69"/>
      <c r="C52" s="69"/>
      <c r="D52" s="69"/>
      <c r="E52" s="69"/>
      <c r="F52" s="69"/>
      <c r="G52" s="64"/>
      <c r="H52" s="78"/>
      <c r="I52" s="93" t="str">
        <f>I42/I51</f>
        <v>#DIV/0!</v>
      </c>
      <c r="J52" s="40"/>
      <c r="K52" s="57"/>
      <c r="Q52" s="58"/>
      <c r="R52" s="40"/>
      <c r="S52" s="40"/>
      <c r="T52" s="40"/>
      <c r="U52" s="40"/>
      <c r="V52" s="40"/>
      <c r="W52" s="40"/>
      <c r="X52" s="40"/>
      <c r="Y52" s="40"/>
      <c r="Z52" s="40"/>
      <c r="AA52" s="40"/>
      <c r="AB52" s="40"/>
    </row>
    <row r="53">
      <c r="A53" s="51" t="s">
        <v>30</v>
      </c>
      <c r="B53" s="59">
        <f t="shared" ref="B53:D53" si="45">B52/$B$1</f>
        <v>0</v>
      </c>
      <c r="C53" s="59">
        <f t="shared" si="45"/>
        <v>0</v>
      </c>
      <c r="D53" s="59">
        <f t="shared" si="45"/>
        <v>0</v>
      </c>
      <c r="E53" s="69"/>
      <c r="F53" s="69"/>
      <c r="G53" s="64"/>
      <c r="H53" s="78"/>
      <c r="I53" s="80"/>
      <c r="J53" s="40"/>
      <c r="K53" s="57"/>
      <c r="Q53" s="58"/>
      <c r="R53" s="40"/>
      <c r="S53" s="40"/>
      <c r="T53" s="40"/>
      <c r="U53" s="40"/>
      <c r="V53" s="40"/>
      <c r="W53" s="40"/>
      <c r="X53" s="40"/>
      <c r="Y53" s="40"/>
      <c r="Z53" s="40"/>
      <c r="AA53" s="40"/>
      <c r="AB53" s="40"/>
    </row>
    <row r="54">
      <c r="A54" s="51" t="s">
        <v>32</v>
      </c>
      <c r="B54" s="69"/>
      <c r="C54" s="69"/>
      <c r="D54" s="69"/>
      <c r="E54" s="69"/>
      <c r="F54" s="69"/>
      <c r="G54" s="64"/>
      <c r="H54" s="78"/>
      <c r="I54" s="80">
        <f>I51/I44</f>
        <v>0</v>
      </c>
      <c r="J54" s="40"/>
      <c r="K54" s="81"/>
      <c r="L54" s="82"/>
      <c r="M54" s="82"/>
      <c r="N54" s="82"/>
      <c r="O54" s="82"/>
      <c r="P54" s="82"/>
      <c r="Q54" s="83"/>
      <c r="R54" s="40"/>
      <c r="S54" s="40"/>
      <c r="T54" s="40"/>
      <c r="U54" s="40"/>
      <c r="V54" s="40"/>
      <c r="W54" s="40"/>
      <c r="X54" s="40"/>
      <c r="Y54" s="40"/>
      <c r="Z54" s="40"/>
      <c r="AA54" s="40"/>
      <c r="AB54" s="40"/>
    </row>
    <row r="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row>
    <row r="56">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row>
    <row r="57">
      <c r="A57" s="96" t="s">
        <v>56</v>
      </c>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row>
    <row r="58">
      <c r="A58" s="7" t="s">
        <v>3</v>
      </c>
      <c r="B58" s="44" t="s">
        <v>38</v>
      </c>
      <c r="C58" s="44" t="s">
        <v>39</v>
      </c>
      <c r="D58" s="44" t="s">
        <v>40</v>
      </c>
      <c r="E58" s="44" t="s">
        <v>41</v>
      </c>
      <c r="F58" s="44" t="s">
        <v>42</v>
      </c>
      <c r="G58" s="44" t="s">
        <v>43</v>
      </c>
      <c r="H58" s="45" t="s">
        <v>17</v>
      </c>
      <c r="I58" s="47" t="s">
        <v>45</v>
      </c>
      <c r="J58" s="40"/>
      <c r="K58" s="95"/>
      <c r="L58" s="49"/>
      <c r="M58" s="49"/>
      <c r="N58" s="49"/>
      <c r="O58" s="49"/>
      <c r="P58" s="49"/>
      <c r="Q58" s="50"/>
      <c r="R58" s="40"/>
      <c r="S58" s="40"/>
      <c r="T58" s="40"/>
      <c r="U58" s="40"/>
      <c r="V58" s="40"/>
      <c r="W58" s="40"/>
      <c r="X58" s="40"/>
      <c r="Y58" s="40"/>
      <c r="Z58" s="40"/>
      <c r="AA58" s="40"/>
      <c r="AB58" s="40"/>
    </row>
    <row r="59">
      <c r="A59" s="51" t="s">
        <v>19</v>
      </c>
      <c r="B59" s="67">
        <f>143904+363364</f>
        <v>507268</v>
      </c>
      <c r="C59" s="67">
        <f>195516+424257</f>
        <v>619773</v>
      </c>
      <c r="D59" s="67"/>
      <c r="E59" s="67"/>
      <c r="F59" s="67"/>
      <c r="G59" s="77">
        <f t="shared" ref="G59:G61" si="47">SUM(B59:F59)</f>
        <v>1127041</v>
      </c>
      <c r="H59" s="85">
        <f>D169</f>
        <v>2250000</v>
      </c>
      <c r="I59" s="56">
        <f>$G59/$G$1*30</f>
        <v>1779538.421</v>
      </c>
      <c r="J59" s="86">
        <f>(H59-G59)/15</f>
        <v>74863.93333</v>
      </c>
      <c r="K59" s="57"/>
      <c r="Q59" s="58"/>
      <c r="R59" s="40"/>
      <c r="S59" s="40"/>
      <c r="T59" s="40"/>
      <c r="U59" s="40"/>
      <c r="V59" s="40"/>
      <c r="W59" s="40"/>
      <c r="X59" s="40"/>
      <c r="Y59" s="40"/>
      <c r="Z59" s="40"/>
      <c r="AA59" s="40"/>
      <c r="AB59" s="40"/>
    </row>
    <row r="60">
      <c r="A60" s="51" t="s">
        <v>20</v>
      </c>
      <c r="B60" s="59">
        <f t="shared" ref="B60:F60" si="46">B59/$B$1</f>
        <v>340.4483221</v>
      </c>
      <c r="C60" s="59">
        <f t="shared" si="46"/>
        <v>415.9550336</v>
      </c>
      <c r="D60" s="59">
        <f t="shared" si="46"/>
        <v>0</v>
      </c>
      <c r="E60" s="59">
        <f t="shared" si="46"/>
        <v>0</v>
      </c>
      <c r="F60" s="59">
        <f t="shared" si="46"/>
        <v>0</v>
      </c>
      <c r="G60" s="60">
        <f t="shared" si="47"/>
        <v>756.4033557</v>
      </c>
      <c r="H60" s="87">
        <f>H59/$B$1</f>
        <v>1510.067114</v>
      </c>
      <c r="I60" s="66"/>
      <c r="J60" s="89">
        <f>H60/$H$5</f>
        <v>0.2542372881</v>
      </c>
      <c r="K60" s="57"/>
      <c r="Q60" s="58"/>
      <c r="R60" s="40"/>
      <c r="S60" s="40"/>
      <c r="T60" s="40"/>
      <c r="U60" s="40"/>
      <c r="V60" s="40"/>
      <c r="W60" s="40"/>
      <c r="X60" s="40"/>
      <c r="Y60" s="40"/>
      <c r="Z60" s="40"/>
      <c r="AA60" s="40"/>
      <c r="AB60" s="40"/>
    </row>
    <row r="61">
      <c r="A61" s="51" t="s">
        <v>21</v>
      </c>
      <c r="B61" s="63">
        <v>75.0</v>
      </c>
      <c r="C61" s="63">
        <v>101.0</v>
      </c>
      <c r="D61" s="63"/>
      <c r="E61" s="63"/>
      <c r="F61" s="63"/>
      <c r="G61" s="64">
        <f t="shared" si="47"/>
        <v>176</v>
      </c>
      <c r="H61" s="65">
        <f>D172</f>
        <v>500</v>
      </c>
      <c r="I61" s="66">
        <f>$G61/$G$1*30</f>
        <v>277.8947368</v>
      </c>
      <c r="J61" s="40"/>
      <c r="K61" s="57"/>
      <c r="Q61" s="58"/>
      <c r="R61" s="40"/>
      <c r="S61" s="40"/>
      <c r="T61" s="40"/>
      <c r="U61" s="40"/>
      <c r="V61" s="40"/>
      <c r="W61" s="40"/>
      <c r="X61" s="40"/>
      <c r="Y61" s="40"/>
      <c r="Z61" s="40"/>
      <c r="AA61" s="40"/>
      <c r="AB61" s="40"/>
    </row>
    <row r="62">
      <c r="A62" s="51" t="s">
        <v>22</v>
      </c>
      <c r="B62" s="90">
        <f t="shared" ref="B62:F62" si="48">B59/B61</f>
        <v>6763.573333</v>
      </c>
      <c r="C62" s="90">
        <f t="shared" si="48"/>
        <v>6136.366337</v>
      </c>
      <c r="D62" s="69" t="str">
        <f t="shared" si="48"/>
        <v>#DIV/0!</v>
      </c>
      <c r="E62" s="69" t="str">
        <f t="shared" si="48"/>
        <v>#DIV/0!</v>
      </c>
      <c r="F62" s="69" t="str">
        <f t="shared" si="48"/>
        <v>#DIV/0!</v>
      </c>
      <c r="G62" s="77">
        <f t="shared" ref="G62:G63" si="51">G59/G$61</f>
        <v>6403.642045</v>
      </c>
      <c r="H62" s="91">
        <f t="shared" ref="H62:I62" si="49">H59/H61</f>
        <v>4500</v>
      </c>
      <c r="I62" s="56">
        <f t="shared" si="49"/>
        <v>6403.642045</v>
      </c>
      <c r="J62" s="40"/>
      <c r="K62" s="57"/>
      <c r="Q62" s="58"/>
      <c r="R62" s="40"/>
      <c r="S62" s="40"/>
      <c r="T62" s="40"/>
      <c r="U62" s="40"/>
      <c r="V62" s="40"/>
      <c r="W62" s="40"/>
      <c r="X62" s="40"/>
      <c r="Y62" s="40"/>
      <c r="Z62" s="40"/>
      <c r="AA62" s="40"/>
      <c r="AB62" s="40"/>
    </row>
    <row r="63">
      <c r="A63" s="51" t="s">
        <v>23</v>
      </c>
      <c r="B63" s="59">
        <f t="shared" ref="B63:F63" si="50">B62/$B$1</f>
        <v>4.539310962</v>
      </c>
      <c r="C63" s="59">
        <f t="shared" si="50"/>
        <v>4.118366669</v>
      </c>
      <c r="D63" s="59" t="str">
        <f t="shared" si="50"/>
        <v>#DIV/0!</v>
      </c>
      <c r="E63" s="59" t="str">
        <f t="shared" si="50"/>
        <v>#DIV/0!</v>
      </c>
      <c r="F63" s="59" t="str">
        <f t="shared" si="50"/>
        <v>#DIV/0!</v>
      </c>
      <c r="G63" s="60">
        <f t="shared" si="51"/>
        <v>4.297746339</v>
      </c>
      <c r="H63" s="87">
        <f>H62/$B$1</f>
        <v>3.020134228</v>
      </c>
      <c r="I63" s="66"/>
      <c r="J63" s="40"/>
      <c r="K63" s="57"/>
      <c r="Q63" s="58"/>
      <c r="R63" s="40"/>
      <c r="S63" s="40"/>
      <c r="T63" s="40"/>
      <c r="U63" s="40"/>
      <c r="V63" s="40"/>
      <c r="W63" s="40"/>
      <c r="X63" s="40"/>
      <c r="Y63" s="40"/>
      <c r="Z63" s="40"/>
      <c r="AA63" s="40"/>
      <c r="AB63" s="40"/>
    </row>
    <row r="64">
      <c r="A64" s="51" t="s">
        <v>24</v>
      </c>
      <c r="B64" s="63">
        <v>8.0</v>
      </c>
      <c r="C64" s="63">
        <v>8.0</v>
      </c>
      <c r="D64" s="63"/>
      <c r="E64" s="63"/>
      <c r="F64" s="63"/>
      <c r="G64" s="64">
        <f>SUM(B64:F64)</f>
        <v>16</v>
      </c>
      <c r="H64" s="65">
        <f>D174</f>
        <v>40</v>
      </c>
      <c r="I64" s="66">
        <f>$G64/$G$1*30</f>
        <v>25.26315789</v>
      </c>
      <c r="J64" s="40"/>
      <c r="K64" s="57"/>
      <c r="Q64" s="58"/>
      <c r="R64" s="40"/>
      <c r="S64" s="40"/>
      <c r="T64" s="40"/>
      <c r="U64" s="40"/>
      <c r="V64" s="40"/>
      <c r="W64" s="40"/>
      <c r="X64" s="40"/>
      <c r="Y64" s="40"/>
      <c r="Z64" s="40"/>
      <c r="AA64" s="40"/>
      <c r="AB64" s="40"/>
    </row>
    <row r="65">
      <c r="A65" s="51" t="s">
        <v>25</v>
      </c>
      <c r="B65" s="90">
        <f t="shared" ref="B65:F65" si="52">B59/B64</f>
        <v>63408.5</v>
      </c>
      <c r="C65" s="90">
        <f t="shared" si="52"/>
        <v>77471.625</v>
      </c>
      <c r="D65" s="69" t="str">
        <f t="shared" si="52"/>
        <v>#DIV/0!</v>
      </c>
      <c r="E65" s="69" t="str">
        <f t="shared" si="52"/>
        <v>#DIV/0!</v>
      </c>
      <c r="F65" s="69" t="str">
        <f t="shared" si="52"/>
        <v>#DIV/0!</v>
      </c>
      <c r="G65" s="77">
        <f t="shared" ref="G65:G66" si="55">G59/G$64</f>
        <v>70440.0625</v>
      </c>
      <c r="H65" s="91">
        <f t="shared" ref="H65:I65" si="53">H59/H64</f>
        <v>56250</v>
      </c>
      <c r="I65" s="71">
        <f t="shared" si="53"/>
        <v>70440.0625</v>
      </c>
      <c r="J65" s="40"/>
      <c r="K65" s="57"/>
      <c r="Q65" s="58"/>
      <c r="R65" s="40"/>
      <c r="S65" s="40"/>
      <c r="T65" s="40"/>
      <c r="U65" s="40"/>
      <c r="V65" s="40"/>
      <c r="W65" s="40"/>
      <c r="X65" s="40"/>
      <c r="Y65" s="40"/>
      <c r="Z65" s="40"/>
      <c r="AA65" s="40"/>
      <c r="AB65" s="40"/>
    </row>
    <row r="66">
      <c r="A66" s="51" t="s">
        <v>26</v>
      </c>
      <c r="B66" s="59">
        <f t="shared" ref="B66:F66" si="54">B65/$B$1</f>
        <v>42.55604027</v>
      </c>
      <c r="C66" s="59">
        <f t="shared" si="54"/>
        <v>51.99437919</v>
      </c>
      <c r="D66" s="59" t="str">
        <f t="shared" si="54"/>
        <v>#DIV/0!</v>
      </c>
      <c r="E66" s="59" t="str">
        <f t="shared" si="54"/>
        <v>#DIV/0!</v>
      </c>
      <c r="F66" s="59" t="str">
        <f t="shared" si="54"/>
        <v>#DIV/0!</v>
      </c>
      <c r="G66" s="60">
        <f t="shared" si="55"/>
        <v>47.27520973</v>
      </c>
      <c r="H66" s="87">
        <f>H65/$B$1</f>
        <v>37.75167785</v>
      </c>
      <c r="I66" s="73"/>
      <c r="J66" s="40"/>
      <c r="K66" s="57"/>
      <c r="Q66" s="58"/>
      <c r="R66" s="40"/>
      <c r="S66" s="40"/>
      <c r="T66" s="40"/>
      <c r="U66" s="40"/>
      <c r="V66" s="40"/>
      <c r="W66" s="40"/>
      <c r="X66" s="40"/>
      <c r="Y66" s="40"/>
      <c r="Z66" s="40"/>
      <c r="AA66" s="40"/>
      <c r="AB66" s="40"/>
    </row>
    <row r="67">
      <c r="A67" s="51" t="s">
        <v>27</v>
      </c>
      <c r="B67" s="74">
        <f t="shared" ref="B67:I67" si="56">B64/B61</f>
        <v>0.1066666667</v>
      </c>
      <c r="C67" s="74">
        <f t="shared" si="56"/>
        <v>0.07920792079</v>
      </c>
      <c r="D67" s="74" t="str">
        <f t="shared" si="56"/>
        <v>#DIV/0!</v>
      </c>
      <c r="E67" s="74" t="str">
        <f t="shared" si="56"/>
        <v>#DIV/0!</v>
      </c>
      <c r="F67" s="74" t="str">
        <f t="shared" si="56"/>
        <v>#DIV/0!</v>
      </c>
      <c r="G67" s="75">
        <f t="shared" si="56"/>
        <v>0.09090909091</v>
      </c>
      <c r="H67" s="92">
        <f t="shared" si="56"/>
        <v>0.08</v>
      </c>
      <c r="I67" s="73">
        <f t="shared" si="56"/>
        <v>0.09090909091</v>
      </c>
      <c r="J67" s="40"/>
      <c r="K67" s="57"/>
      <c r="Q67" s="58"/>
      <c r="R67" s="40"/>
      <c r="S67" s="40"/>
      <c r="T67" s="40"/>
      <c r="U67" s="40"/>
      <c r="V67" s="40"/>
      <c r="W67" s="40"/>
      <c r="X67" s="40"/>
      <c r="Y67" s="40"/>
      <c r="Z67" s="40"/>
      <c r="AA67" s="40"/>
      <c r="AB67" s="40"/>
    </row>
    <row r="68">
      <c r="A68" s="51" t="s">
        <v>28</v>
      </c>
      <c r="B68" s="63"/>
      <c r="C68" s="63"/>
      <c r="D68" s="63"/>
      <c r="E68" s="63"/>
      <c r="F68" s="69"/>
      <c r="G68" s="64">
        <f>SUM(B68:F68)</f>
        <v>0</v>
      </c>
      <c r="H68" s="78"/>
      <c r="I68" s="79">
        <f>$G68/$G$1*30</f>
        <v>0</v>
      </c>
      <c r="J68" s="40"/>
      <c r="K68" s="57"/>
      <c r="Q68" s="58"/>
      <c r="R68" s="40"/>
      <c r="S68" s="40"/>
      <c r="T68" s="40"/>
      <c r="U68" s="40"/>
      <c r="V68" s="40"/>
      <c r="W68" s="40"/>
      <c r="X68" s="40"/>
      <c r="Y68" s="40"/>
      <c r="Z68" s="40"/>
      <c r="AA68" s="40"/>
      <c r="AB68" s="40"/>
    </row>
    <row r="69">
      <c r="A69" s="51" t="s">
        <v>29</v>
      </c>
      <c r="B69" s="69"/>
      <c r="C69" s="69" t="str">
        <f>C59/C68</f>
        <v>#DIV/0!</v>
      </c>
      <c r="D69" s="69"/>
      <c r="E69" s="69" t="str">
        <f>E59/E68</f>
        <v>#DIV/0!</v>
      </c>
      <c r="F69" s="69"/>
      <c r="G69" s="64" t="str">
        <f>G59/G68</f>
        <v>#DIV/0!</v>
      </c>
      <c r="H69" s="78"/>
      <c r="I69" s="93" t="str">
        <f>I59/I68</f>
        <v>#DIV/0!</v>
      </c>
      <c r="J69" s="40"/>
      <c r="K69" s="57"/>
      <c r="Q69" s="58"/>
      <c r="R69" s="40"/>
      <c r="S69" s="40"/>
      <c r="T69" s="40"/>
      <c r="U69" s="40"/>
      <c r="V69" s="40"/>
      <c r="W69" s="40"/>
      <c r="X69" s="40"/>
      <c r="Y69" s="40"/>
      <c r="Z69" s="40"/>
      <c r="AA69" s="40"/>
      <c r="AB69" s="40"/>
    </row>
    <row r="70">
      <c r="A70" s="51" t="s">
        <v>30</v>
      </c>
      <c r="B70" s="59">
        <f t="shared" ref="B70:E70" si="57">B69/$B$1</f>
        <v>0</v>
      </c>
      <c r="C70" s="59" t="str">
        <f t="shared" si="57"/>
        <v>#DIV/0!</v>
      </c>
      <c r="D70" s="59">
        <f t="shared" si="57"/>
        <v>0</v>
      </c>
      <c r="E70" s="59" t="str">
        <f t="shared" si="57"/>
        <v>#DIV/0!</v>
      </c>
      <c r="F70" s="69"/>
      <c r="G70" s="60" t="str">
        <f>G69/$B$1</f>
        <v>#DIV/0!</v>
      </c>
      <c r="H70" s="78"/>
      <c r="I70" s="80"/>
      <c r="J70" s="40"/>
      <c r="K70" s="57"/>
      <c r="Q70" s="58"/>
      <c r="R70" s="40"/>
      <c r="S70" s="40"/>
      <c r="T70" s="40"/>
      <c r="U70" s="40"/>
      <c r="V70" s="40"/>
      <c r="W70" s="40"/>
      <c r="X70" s="40"/>
      <c r="Y70" s="40"/>
      <c r="Z70" s="40"/>
      <c r="AA70" s="40"/>
      <c r="AB70" s="40"/>
    </row>
    <row r="71">
      <c r="A71" s="51" t="s">
        <v>32</v>
      </c>
      <c r="B71" s="69"/>
      <c r="C71" s="69"/>
      <c r="D71" s="69"/>
      <c r="E71" s="69"/>
      <c r="F71" s="69"/>
      <c r="G71" s="64"/>
      <c r="H71" s="78"/>
      <c r="I71" s="80">
        <f>I68/I61</f>
        <v>0</v>
      </c>
      <c r="J71" s="40"/>
      <c r="K71" s="81"/>
      <c r="L71" s="82"/>
      <c r="M71" s="82"/>
      <c r="N71" s="82"/>
      <c r="O71" s="82"/>
      <c r="P71" s="82"/>
      <c r="Q71" s="83"/>
      <c r="R71" s="40"/>
      <c r="S71" s="40"/>
      <c r="T71" s="40"/>
      <c r="U71" s="40"/>
      <c r="V71" s="40"/>
      <c r="W71" s="40"/>
      <c r="X71" s="40"/>
      <c r="Y71" s="40"/>
      <c r="Z71" s="40"/>
      <c r="AA71" s="40"/>
      <c r="AB71" s="40"/>
    </row>
    <row r="72">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row>
    <row r="73">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row>
    <row r="74">
      <c r="A74" s="97" t="s">
        <v>57</v>
      </c>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row>
    <row r="75">
      <c r="A75" s="7" t="s">
        <v>3</v>
      </c>
      <c r="B75" s="44" t="s">
        <v>38</v>
      </c>
      <c r="C75" s="44" t="s">
        <v>39</v>
      </c>
      <c r="D75" s="44" t="s">
        <v>40</v>
      </c>
      <c r="E75" s="44" t="s">
        <v>41</v>
      </c>
      <c r="F75" s="44" t="s">
        <v>42</v>
      </c>
      <c r="G75" s="44" t="s">
        <v>43</v>
      </c>
      <c r="H75" s="45" t="s">
        <v>17</v>
      </c>
      <c r="I75" s="47" t="s">
        <v>45</v>
      </c>
      <c r="J75" s="40"/>
      <c r="K75" s="40"/>
      <c r="L75" s="40"/>
      <c r="M75" s="40"/>
      <c r="N75" s="40"/>
      <c r="O75" s="40"/>
      <c r="P75" s="40"/>
      <c r="Q75" s="40"/>
      <c r="R75" s="40"/>
      <c r="S75" s="40"/>
      <c r="T75" s="40"/>
      <c r="U75" s="40"/>
      <c r="V75" s="40"/>
      <c r="W75" s="40"/>
      <c r="X75" s="40"/>
      <c r="Y75" s="40"/>
      <c r="Z75" s="40"/>
      <c r="AA75" s="40"/>
      <c r="AB75" s="40"/>
    </row>
    <row r="76">
      <c r="A76" s="51" t="s">
        <v>19</v>
      </c>
      <c r="B76" s="67">
        <v>270329.0</v>
      </c>
      <c r="C76" s="67">
        <v>63166.0</v>
      </c>
      <c r="D76" s="67"/>
      <c r="E76" s="67"/>
      <c r="F76" s="67"/>
      <c r="G76" s="77">
        <f t="shared" ref="G76:G78" si="59">SUM(B76:F76)</f>
        <v>333495</v>
      </c>
      <c r="H76" s="85">
        <f>E169</f>
        <v>1350000</v>
      </c>
      <c r="I76" s="56">
        <f>$G76/$G$1*30</f>
        <v>526571.0526</v>
      </c>
      <c r="J76" s="86">
        <f>(H76-G76)/15</f>
        <v>67767</v>
      </c>
      <c r="K76" s="40"/>
      <c r="L76" s="40"/>
      <c r="M76" s="40"/>
      <c r="N76" s="40"/>
      <c r="O76" s="40"/>
      <c r="P76" s="40"/>
      <c r="Q76" s="40"/>
      <c r="R76" s="40"/>
      <c r="S76" s="40"/>
      <c r="T76" s="40"/>
      <c r="U76" s="40"/>
      <c r="V76" s="40"/>
      <c r="W76" s="40"/>
      <c r="X76" s="40"/>
      <c r="Y76" s="40"/>
      <c r="Z76" s="40"/>
      <c r="AA76" s="40"/>
      <c r="AB76" s="40"/>
    </row>
    <row r="77">
      <c r="A77" s="51" t="s">
        <v>20</v>
      </c>
      <c r="B77" s="59">
        <f t="shared" ref="B77:F77" si="58">B76/$B$1</f>
        <v>181.4288591</v>
      </c>
      <c r="C77" s="59">
        <f t="shared" si="58"/>
        <v>42.39328859</v>
      </c>
      <c r="D77" s="59">
        <f t="shared" si="58"/>
        <v>0</v>
      </c>
      <c r="E77" s="59">
        <f t="shared" si="58"/>
        <v>0</v>
      </c>
      <c r="F77" s="59">
        <f t="shared" si="58"/>
        <v>0</v>
      </c>
      <c r="G77" s="60">
        <f t="shared" si="59"/>
        <v>223.8221477</v>
      </c>
      <c r="H77" s="87">
        <f>H76/$B$1</f>
        <v>906.0402685</v>
      </c>
      <c r="I77" s="66"/>
      <c r="J77" s="40"/>
      <c r="K77" s="40"/>
      <c r="L77" s="40"/>
      <c r="M77" s="40"/>
      <c r="N77" s="40"/>
      <c r="O77" s="40"/>
      <c r="P77" s="40"/>
      <c r="Q77" s="40"/>
      <c r="R77" s="40"/>
      <c r="S77" s="40"/>
      <c r="T77" s="40"/>
      <c r="U77" s="40"/>
      <c r="V77" s="40"/>
      <c r="W77" s="40"/>
      <c r="X77" s="40"/>
      <c r="Y77" s="40"/>
      <c r="Z77" s="40"/>
      <c r="AA77" s="40"/>
      <c r="AB77" s="40"/>
    </row>
    <row r="78">
      <c r="A78" s="51" t="s">
        <v>21</v>
      </c>
      <c r="B78" s="63">
        <v>36.0</v>
      </c>
      <c r="C78" s="63">
        <v>14.0</v>
      </c>
      <c r="D78" s="63"/>
      <c r="E78" s="63"/>
      <c r="F78" s="63"/>
      <c r="G78" s="64">
        <f t="shared" si="59"/>
        <v>50</v>
      </c>
      <c r="H78" s="65">
        <f>E172</f>
        <v>450</v>
      </c>
      <c r="I78" s="66">
        <f>$G78/$G$1*30</f>
        <v>78.94736842</v>
      </c>
      <c r="J78" s="40"/>
      <c r="K78" s="40"/>
      <c r="L78" s="40"/>
      <c r="M78" s="40"/>
      <c r="N78" s="40"/>
      <c r="O78" s="40"/>
      <c r="P78" s="40"/>
      <c r="Q78" s="40"/>
      <c r="R78" s="40"/>
      <c r="S78" s="40"/>
      <c r="T78" s="40"/>
      <c r="U78" s="40"/>
      <c r="V78" s="40"/>
      <c r="W78" s="40"/>
      <c r="X78" s="40"/>
      <c r="Y78" s="40"/>
      <c r="Z78" s="40"/>
      <c r="AA78" s="40"/>
      <c r="AB78" s="40"/>
    </row>
    <row r="79">
      <c r="A79" s="51" t="s">
        <v>22</v>
      </c>
      <c r="B79" s="90">
        <f t="shared" ref="B79:F79" si="60">B76/B78</f>
        <v>7509.138889</v>
      </c>
      <c r="C79" s="90">
        <f t="shared" si="60"/>
        <v>4511.857143</v>
      </c>
      <c r="D79" s="69" t="str">
        <f t="shared" si="60"/>
        <v>#DIV/0!</v>
      </c>
      <c r="E79" s="69" t="str">
        <f t="shared" si="60"/>
        <v>#DIV/0!</v>
      </c>
      <c r="F79" s="69" t="str">
        <f t="shared" si="60"/>
        <v>#DIV/0!</v>
      </c>
      <c r="G79" s="77">
        <f t="shared" ref="G79:G80" si="63">G76/G$78</f>
        <v>6669.9</v>
      </c>
      <c r="H79" s="91">
        <f t="shared" ref="H79:I79" si="61">H76/H78</f>
        <v>3000</v>
      </c>
      <c r="I79" s="56">
        <f t="shared" si="61"/>
        <v>6669.9</v>
      </c>
      <c r="J79" s="40"/>
      <c r="K79" s="40"/>
      <c r="L79" s="40"/>
      <c r="M79" s="40"/>
      <c r="N79" s="40"/>
      <c r="O79" s="40"/>
      <c r="P79" s="40"/>
      <c r="Q79" s="40"/>
      <c r="R79" s="40"/>
      <c r="S79" s="40"/>
      <c r="T79" s="40"/>
      <c r="U79" s="40"/>
      <c r="V79" s="40"/>
      <c r="W79" s="40"/>
      <c r="X79" s="40"/>
      <c r="Y79" s="40"/>
      <c r="Z79" s="40"/>
      <c r="AA79" s="40"/>
      <c r="AB79" s="40"/>
    </row>
    <row r="80">
      <c r="A80" s="51" t="s">
        <v>23</v>
      </c>
      <c r="B80" s="59">
        <f t="shared" ref="B80:F80" si="62">B79/$B$1</f>
        <v>5.039690529</v>
      </c>
      <c r="C80" s="59">
        <f t="shared" si="62"/>
        <v>3.028092042</v>
      </c>
      <c r="D80" s="59" t="str">
        <f t="shared" si="62"/>
        <v>#DIV/0!</v>
      </c>
      <c r="E80" s="59" t="str">
        <f t="shared" si="62"/>
        <v>#DIV/0!</v>
      </c>
      <c r="F80" s="59" t="str">
        <f t="shared" si="62"/>
        <v>#DIV/0!</v>
      </c>
      <c r="G80" s="60">
        <f t="shared" si="63"/>
        <v>4.476442953</v>
      </c>
      <c r="H80" s="87">
        <f>H79/$B$1</f>
        <v>2.013422819</v>
      </c>
      <c r="I80" s="66"/>
      <c r="J80" s="40"/>
      <c r="K80" s="40"/>
      <c r="L80" s="40"/>
      <c r="M80" s="40"/>
      <c r="N80" s="40"/>
      <c r="O80" s="40"/>
      <c r="P80" s="40"/>
      <c r="Q80" s="40"/>
      <c r="R80" s="40"/>
      <c r="S80" s="40"/>
      <c r="T80" s="40"/>
      <c r="U80" s="40"/>
      <c r="V80" s="40"/>
      <c r="W80" s="40"/>
      <c r="X80" s="40"/>
      <c r="Y80" s="40"/>
      <c r="Z80" s="40"/>
      <c r="AA80" s="40"/>
      <c r="AB80" s="40"/>
    </row>
    <row r="81">
      <c r="A81" s="51" t="s">
        <v>24</v>
      </c>
      <c r="B81" s="63">
        <v>6.0</v>
      </c>
      <c r="C81" s="63">
        <v>1.0</v>
      </c>
      <c r="D81" s="63"/>
      <c r="E81" s="63"/>
      <c r="F81" s="63"/>
      <c r="G81" s="64">
        <f>SUM(B81:F81)</f>
        <v>7</v>
      </c>
      <c r="H81" s="65">
        <f>E174</f>
        <v>36</v>
      </c>
      <c r="I81" s="66">
        <f>$G81/$G$1*30</f>
        <v>11.05263158</v>
      </c>
      <c r="J81" s="40"/>
      <c r="K81" s="40"/>
      <c r="L81" s="40"/>
      <c r="M81" s="40"/>
      <c r="N81" s="40"/>
      <c r="O81" s="40"/>
      <c r="P81" s="40"/>
      <c r="Q81" s="40"/>
      <c r="R81" s="40"/>
      <c r="S81" s="40"/>
      <c r="T81" s="40"/>
      <c r="U81" s="40"/>
      <c r="V81" s="40"/>
      <c r="W81" s="40"/>
      <c r="X81" s="40"/>
      <c r="Y81" s="40"/>
      <c r="Z81" s="40"/>
      <c r="AA81" s="40"/>
      <c r="AB81" s="40"/>
    </row>
    <row r="82">
      <c r="A82" s="51" t="s">
        <v>25</v>
      </c>
      <c r="B82" s="90">
        <f t="shared" ref="B82:F82" si="64">B76/B81</f>
        <v>45054.83333</v>
      </c>
      <c r="C82" s="90">
        <f t="shared" si="64"/>
        <v>63166</v>
      </c>
      <c r="D82" s="69" t="str">
        <f t="shared" si="64"/>
        <v>#DIV/0!</v>
      </c>
      <c r="E82" s="69" t="str">
        <f t="shared" si="64"/>
        <v>#DIV/0!</v>
      </c>
      <c r="F82" s="69" t="str">
        <f t="shared" si="64"/>
        <v>#DIV/0!</v>
      </c>
      <c r="G82" s="77">
        <f t="shared" ref="G82:G83" si="67">G76/G$81</f>
        <v>47642.14286</v>
      </c>
      <c r="H82" s="91">
        <f t="shared" ref="H82:I82" si="65">H76/H81</f>
        <v>37500</v>
      </c>
      <c r="I82" s="71">
        <f t="shared" si="65"/>
        <v>47642.14286</v>
      </c>
      <c r="J82" s="40"/>
      <c r="K82" s="40"/>
      <c r="L82" s="40"/>
      <c r="M82" s="40"/>
      <c r="N82" s="40"/>
      <c r="O82" s="40"/>
      <c r="P82" s="40"/>
      <c r="Q82" s="40"/>
      <c r="R82" s="40"/>
      <c r="S82" s="40"/>
      <c r="T82" s="40"/>
      <c r="U82" s="40"/>
      <c r="V82" s="40"/>
      <c r="W82" s="40"/>
      <c r="X82" s="40"/>
      <c r="Y82" s="40"/>
      <c r="Z82" s="40"/>
      <c r="AA82" s="40"/>
      <c r="AB82" s="40"/>
    </row>
    <row r="83">
      <c r="A83" s="51" t="s">
        <v>26</v>
      </c>
      <c r="B83" s="59">
        <f t="shared" ref="B83:F83" si="66">B82/$B$1</f>
        <v>30.23814318</v>
      </c>
      <c r="C83" s="59">
        <f t="shared" si="66"/>
        <v>42.39328859</v>
      </c>
      <c r="D83" s="59" t="str">
        <f t="shared" si="66"/>
        <v>#DIV/0!</v>
      </c>
      <c r="E83" s="59" t="str">
        <f t="shared" si="66"/>
        <v>#DIV/0!</v>
      </c>
      <c r="F83" s="59" t="str">
        <f t="shared" si="66"/>
        <v>#DIV/0!</v>
      </c>
      <c r="G83" s="60">
        <f t="shared" si="67"/>
        <v>31.97459252</v>
      </c>
      <c r="H83" s="87">
        <f>H82/$B$1</f>
        <v>25.16778523</v>
      </c>
      <c r="I83" s="73"/>
      <c r="J83" s="40"/>
      <c r="K83" s="40"/>
      <c r="L83" s="40"/>
      <c r="M83" s="40"/>
      <c r="N83" s="40"/>
      <c r="O83" s="40"/>
      <c r="P83" s="40"/>
      <c r="Q83" s="40"/>
      <c r="R83" s="40"/>
      <c r="S83" s="40"/>
      <c r="T83" s="40"/>
      <c r="U83" s="40"/>
      <c r="V83" s="40"/>
      <c r="W83" s="40"/>
      <c r="X83" s="40"/>
      <c r="Y83" s="40"/>
      <c r="Z83" s="40"/>
      <c r="AA83" s="40"/>
      <c r="AB83" s="40"/>
    </row>
    <row r="84">
      <c r="A84" s="51" t="s">
        <v>27</v>
      </c>
      <c r="B84" s="74">
        <f t="shared" ref="B84:I84" si="68">B81/B78</f>
        <v>0.1666666667</v>
      </c>
      <c r="C84" s="74">
        <f t="shared" si="68"/>
        <v>0.07142857143</v>
      </c>
      <c r="D84" s="74" t="str">
        <f t="shared" si="68"/>
        <v>#DIV/0!</v>
      </c>
      <c r="E84" s="74" t="str">
        <f t="shared" si="68"/>
        <v>#DIV/0!</v>
      </c>
      <c r="F84" s="74" t="str">
        <f t="shared" si="68"/>
        <v>#DIV/0!</v>
      </c>
      <c r="G84" s="75">
        <f t="shared" si="68"/>
        <v>0.14</v>
      </c>
      <c r="H84" s="92">
        <f t="shared" si="68"/>
        <v>0.08</v>
      </c>
      <c r="I84" s="73">
        <f t="shared" si="68"/>
        <v>0.14</v>
      </c>
      <c r="J84" s="40"/>
      <c r="K84" s="40"/>
      <c r="L84" s="40"/>
      <c r="M84" s="40"/>
      <c r="N84" s="40"/>
      <c r="O84" s="40"/>
      <c r="P84" s="40"/>
      <c r="Q84" s="40"/>
      <c r="R84" s="40"/>
      <c r="S84" s="40"/>
      <c r="T84" s="40"/>
      <c r="U84" s="40"/>
      <c r="V84" s="40"/>
      <c r="W84" s="40"/>
      <c r="X84" s="40"/>
      <c r="Y84" s="40"/>
      <c r="Z84" s="40"/>
      <c r="AA84" s="40"/>
      <c r="AB84" s="40"/>
    </row>
    <row r="85">
      <c r="A85" s="51" t="s">
        <v>28</v>
      </c>
      <c r="B85" s="63"/>
      <c r="C85" s="63">
        <v>0.0</v>
      </c>
      <c r="D85" s="63"/>
      <c r="E85" s="69"/>
      <c r="F85" s="69"/>
      <c r="G85" s="64">
        <f>SUM(B85:D85)</f>
        <v>0</v>
      </c>
      <c r="H85" s="78"/>
      <c r="I85" s="79">
        <f>$G85/$G$1*30</f>
        <v>0</v>
      </c>
      <c r="J85" s="40"/>
      <c r="K85" s="40"/>
      <c r="L85" s="40"/>
      <c r="M85" s="40"/>
      <c r="N85" s="40"/>
      <c r="O85" s="40"/>
      <c r="P85" s="40"/>
      <c r="Q85" s="40"/>
      <c r="R85" s="40"/>
      <c r="S85" s="40"/>
      <c r="T85" s="40"/>
      <c r="U85" s="40"/>
      <c r="V85" s="40"/>
      <c r="W85" s="40"/>
      <c r="X85" s="40"/>
      <c r="Y85" s="40"/>
      <c r="Z85" s="40"/>
      <c r="AA85" s="40"/>
      <c r="AB85" s="40"/>
    </row>
    <row r="86">
      <c r="A86" s="51" t="s">
        <v>29</v>
      </c>
      <c r="B86" s="69"/>
      <c r="C86" s="69"/>
      <c r="D86" s="69"/>
      <c r="E86" s="69"/>
      <c r="F86" s="69"/>
      <c r="G86" s="64"/>
      <c r="H86" s="78"/>
      <c r="I86" s="93" t="str">
        <f>I76/I85</f>
        <v>#DIV/0!</v>
      </c>
      <c r="J86" s="40"/>
      <c r="K86" s="40"/>
      <c r="L86" s="40"/>
      <c r="M86" s="40"/>
      <c r="N86" s="40"/>
      <c r="O86" s="40"/>
      <c r="P86" s="40"/>
      <c r="Q86" s="40"/>
      <c r="R86" s="40"/>
      <c r="S86" s="40"/>
      <c r="T86" s="40"/>
      <c r="U86" s="40"/>
      <c r="V86" s="40"/>
      <c r="W86" s="40"/>
      <c r="X86" s="40"/>
      <c r="Y86" s="40"/>
      <c r="Z86" s="40"/>
      <c r="AA86" s="40"/>
      <c r="AB86" s="40"/>
    </row>
    <row r="87">
      <c r="A87" s="51" t="s">
        <v>30</v>
      </c>
      <c r="B87" s="59">
        <f t="shared" ref="B87:D87" si="69">B86/$B$1</f>
        <v>0</v>
      </c>
      <c r="C87" s="59">
        <f t="shared" si="69"/>
        <v>0</v>
      </c>
      <c r="D87" s="59">
        <f t="shared" si="69"/>
        <v>0</v>
      </c>
      <c r="E87" s="69"/>
      <c r="F87" s="69"/>
      <c r="G87" s="64"/>
      <c r="H87" s="78"/>
      <c r="I87" s="80"/>
      <c r="J87" s="40"/>
      <c r="K87" s="40"/>
      <c r="L87" s="40"/>
      <c r="M87" s="40"/>
      <c r="N87" s="40"/>
      <c r="O87" s="40"/>
      <c r="P87" s="40"/>
      <c r="Q87" s="40"/>
      <c r="R87" s="40"/>
      <c r="S87" s="40"/>
      <c r="T87" s="40"/>
      <c r="U87" s="40"/>
      <c r="V87" s="40"/>
      <c r="W87" s="40"/>
      <c r="X87" s="40"/>
      <c r="Y87" s="40"/>
      <c r="Z87" s="40"/>
      <c r="AA87" s="40"/>
      <c r="AB87" s="40"/>
    </row>
    <row r="88">
      <c r="A88" s="51" t="s">
        <v>32</v>
      </c>
      <c r="B88" s="69"/>
      <c r="C88" s="69"/>
      <c r="D88" s="69"/>
      <c r="E88" s="69"/>
      <c r="F88" s="69"/>
      <c r="G88" s="64"/>
      <c r="H88" s="78"/>
      <c r="I88" s="80">
        <f>I85/I78</f>
        <v>0</v>
      </c>
      <c r="J88" s="40"/>
      <c r="K88" s="40"/>
      <c r="L88" s="40"/>
      <c r="M88" s="40"/>
      <c r="N88" s="40"/>
      <c r="O88" s="40"/>
      <c r="P88" s="40"/>
      <c r="Q88" s="40"/>
      <c r="R88" s="40"/>
      <c r="S88" s="40"/>
      <c r="T88" s="40"/>
      <c r="U88" s="40"/>
      <c r="V88" s="40"/>
      <c r="W88" s="40"/>
      <c r="X88" s="40"/>
      <c r="Y88" s="40"/>
      <c r="Z88" s="40"/>
      <c r="AA88" s="40"/>
      <c r="AB88" s="40"/>
    </row>
    <row r="89">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row>
    <row r="90">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row>
    <row r="91">
      <c r="A91" s="97" t="s">
        <v>58</v>
      </c>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row>
    <row r="92">
      <c r="A92" s="7" t="s">
        <v>3</v>
      </c>
      <c r="B92" s="44" t="s">
        <v>38</v>
      </c>
      <c r="C92" s="44" t="s">
        <v>39</v>
      </c>
      <c r="D92" s="44" t="s">
        <v>40</v>
      </c>
      <c r="E92" s="44" t="s">
        <v>41</v>
      </c>
      <c r="F92" s="44" t="s">
        <v>42</v>
      </c>
      <c r="G92" s="44" t="s">
        <v>43</v>
      </c>
      <c r="H92" s="45" t="s">
        <v>17</v>
      </c>
      <c r="I92" s="40"/>
      <c r="J92" s="40"/>
      <c r="K92" s="40"/>
      <c r="L92" s="40"/>
      <c r="M92" s="40"/>
      <c r="N92" s="40"/>
      <c r="O92" s="40"/>
      <c r="P92" s="40"/>
      <c r="Q92" s="40"/>
      <c r="R92" s="40"/>
      <c r="S92" s="40"/>
      <c r="T92" s="40"/>
      <c r="U92" s="40"/>
      <c r="V92" s="40"/>
      <c r="W92" s="40"/>
      <c r="X92" s="40"/>
      <c r="Y92" s="40"/>
      <c r="Z92" s="40"/>
      <c r="AA92" s="40"/>
      <c r="AB92" s="40"/>
    </row>
    <row r="93">
      <c r="A93" s="51" t="s">
        <v>19</v>
      </c>
      <c r="B93" s="67"/>
      <c r="C93" s="67"/>
      <c r="D93" s="67"/>
      <c r="E93" s="69"/>
      <c r="F93" s="69"/>
      <c r="G93" s="77">
        <f t="shared" ref="G93:G94" si="70">SUM(B93:F93)</f>
        <v>0</v>
      </c>
      <c r="H93" s="85"/>
      <c r="I93" s="40"/>
      <c r="J93" s="40"/>
      <c r="K93" s="40"/>
      <c r="L93" s="40"/>
      <c r="M93" s="40"/>
      <c r="N93" s="40"/>
      <c r="O93" s="40"/>
      <c r="P93" s="40"/>
      <c r="Q93" s="40"/>
      <c r="R93" s="40"/>
      <c r="S93" s="40"/>
      <c r="T93" s="40"/>
      <c r="U93" s="40"/>
      <c r="V93" s="40"/>
      <c r="W93" s="40"/>
      <c r="X93" s="40"/>
      <c r="Y93" s="40"/>
      <c r="Z93" s="40"/>
      <c r="AA93" s="40"/>
      <c r="AB93" s="40"/>
    </row>
    <row r="94">
      <c r="A94" s="51" t="s">
        <v>21</v>
      </c>
      <c r="B94" s="63"/>
      <c r="C94" s="63"/>
      <c r="D94" s="63"/>
      <c r="E94" s="69"/>
      <c r="F94" s="69"/>
      <c r="G94" s="64">
        <f t="shared" si="70"/>
        <v>0</v>
      </c>
      <c r="H94" s="98"/>
      <c r="I94" s="40"/>
      <c r="J94" s="40"/>
      <c r="K94" s="40"/>
      <c r="L94" s="40"/>
      <c r="M94" s="40"/>
      <c r="N94" s="40"/>
      <c r="O94" s="40"/>
      <c r="P94" s="40"/>
      <c r="Q94" s="40"/>
      <c r="R94" s="40"/>
      <c r="S94" s="40"/>
      <c r="T94" s="40"/>
      <c r="U94" s="40"/>
      <c r="V94" s="40"/>
      <c r="W94" s="40"/>
      <c r="X94" s="40"/>
      <c r="Y94" s="40"/>
      <c r="Z94" s="40"/>
      <c r="AA94" s="40"/>
      <c r="AB94" s="40"/>
    </row>
    <row r="95">
      <c r="A95" s="51" t="s">
        <v>22</v>
      </c>
      <c r="B95" s="69" t="str">
        <f t="shared" ref="B95:D95" si="71">B93/B94</f>
        <v>#DIV/0!</v>
      </c>
      <c r="C95" s="69" t="str">
        <f t="shared" si="71"/>
        <v>#DIV/0!</v>
      </c>
      <c r="D95" s="69" t="str">
        <f t="shared" si="71"/>
        <v>#DIV/0!</v>
      </c>
      <c r="E95" s="69"/>
      <c r="F95" s="69"/>
      <c r="G95" s="64" t="str">
        <f t="shared" ref="G95:H95" si="72">G93/G94</f>
        <v>#DIV/0!</v>
      </c>
      <c r="H95" s="78" t="str">
        <f t="shared" si="72"/>
        <v>#DIV/0!</v>
      </c>
      <c r="I95" s="40"/>
      <c r="J95" s="40"/>
      <c r="K95" s="40"/>
      <c r="L95" s="40"/>
      <c r="M95" s="40"/>
      <c r="N95" s="40"/>
      <c r="O95" s="40"/>
      <c r="P95" s="40"/>
      <c r="Q95" s="40"/>
      <c r="R95" s="40"/>
      <c r="S95" s="40"/>
      <c r="T95" s="40"/>
      <c r="U95" s="40"/>
      <c r="V95" s="40"/>
      <c r="W95" s="40"/>
      <c r="X95" s="40"/>
      <c r="Y95" s="40"/>
      <c r="Z95" s="40"/>
      <c r="AA95" s="40"/>
      <c r="AB95" s="40"/>
    </row>
    <row r="96">
      <c r="A96" s="51" t="s">
        <v>24</v>
      </c>
      <c r="B96" s="63">
        <v>0.0</v>
      </c>
      <c r="C96" s="63"/>
      <c r="D96" s="63"/>
      <c r="E96" s="69"/>
      <c r="F96" s="69"/>
      <c r="G96" s="64">
        <f>SUM(B96:D96)</f>
        <v>0</v>
      </c>
      <c r="H96" s="98"/>
      <c r="I96" s="40"/>
      <c r="J96" s="40"/>
      <c r="K96" s="40"/>
      <c r="L96" s="40"/>
      <c r="M96" s="40"/>
      <c r="N96" s="40"/>
      <c r="O96" s="40"/>
      <c r="P96" s="40"/>
      <c r="Q96" s="40"/>
      <c r="R96" s="40"/>
      <c r="S96" s="40"/>
      <c r="T96" s="40"/>
      <c r="U96" s="40"/>
      <c r="V96" s="40"/>
      <c r="W96" s="40"/>
      <c r="X96" s="40"/>
      <c r="Y96" s="40"/>
      <c r="Z96" s="40"/>
      <c r="AA96" s="40"/>
      <c r="AB96" s="40"/>
    </row>
    <row r="97">
      <c r="A97" s="51" t="s">
        <v>25</v>
      </c>
      <c r="B97" s="69" t="str">
        <f t="shared" ref="B97:D97" si="73">B93/B96</f>
        <v>#DIV/0!</v>
      </c>
      <c r="C97" s="69" t="str">
        <f t="shared" si="73"/>
        <v>#DIV/0!</v>
      </c>
      <c r="D97" s="69" t="str">
        <f t="shared" si="73"/>
        <v>#DIV/0!</v>
      </c>
      <c r="E97" s="69"/>
      <c r="F97" s="69"/>
      <c r="G97" s="64" t="str">
        <f t="shared" ref="G97:H97" si="74">G93/G96</f>
        <v>#DIV/0!</v>
      </c>
      <c r="H97" s="78" t="str">
        <f t="shared" si="74"/>
        <v>#DIV/0!</v>
      </c>
      <c r="I97" s="40"/>
      <c r="J97" s="40"/>
      <c r="K97" s="40"/>
      <c r="L97" s="40"/>
      <c r="M97" s="40"/>
      <c r="N97" s="40"/>
      <c r="O97" s="40"/>
      <c r="P97" s="40"/>
      <c r="Q97" s="40"/>
      <c r="R97" s="40"/>
      <c r="S97" s="40"/>
      <c r="T97" s="40"/>
      <c r="U97" s="40"/>
      <c r="V97" s="40"/>
      <c r="W97" s="40"/>
      <c r="X97" s="40"/>
      <c r="Y97" s="40"/>
      <c r="Z97" s="40"/>
      <c r="AA97" s="40"/>
      <c r="AB97" s="40"/>
    </row>
    <row r="98">
      <c r="A98" s="51" t="s">
        <v>27</v>
      </c>
      <c r="B98" s="74" t="str">
        <f t="shared" ref="B98:D98" si="75">B96/B94</f>
        <v>#DIV/0!</v>
      </c>
      <c r="C98" s="74" t="str">
        <f t="shared" si="75"/>
        <v>#DIV/0!</v>
      </c>
      <c r="D98" s="74" t="str">
        <f t="shared" si="75"/>
        <v>#DIV/0!</v>
      </c>
      <c r="E98" s="69"/>
      <c r="F98" s="69"/>
      <c r="G98" s="75" t="str">
        <f t="shared" ref="G98:H98" si="76">G96/G94</f>
        <v>#DIV/0!</v>
      </c>
      <c r="H98" s="92" t="str">
        <f t="shared" si="76"/>
        <v>#DIV/0!</v>
      </c>
      <c r="I98" s="40"/>
      <c r="J98" s="40"/>
      <c r="K98" s="40"/>
      <c r="L98" s="40"/>
      <c r="M98" s="40"/>
      <c r="N98" s="40"/>
      <c r="O98" s="40"/>
      <c r="P98" s="40"/>
      <c r="Q98" s="40"/>
      <c r="R98" s="40"/>
      <c r="S98" s="40"/>
      <c r="T98" s="40"/>
      <c r="U98" s="40"/>
      <c r="V98" s="40"/>
      <c r="W98" s="40"/>
      <c r="X98" s="40"/>
      <c r="Y98" s="40"/>
      <c r="Z98" s="40"/>
      <c r="AA98" s="40"/>
      <c r="AB98" s="40"/>
    </row>
    <row r="99">
      <c r="A99" s="51" t="s">
        <v>28</v>
      </c>
      <c r="B99" s="63">
        <v>0.0</v>
      </c>
      <c r="C99" s="63">
        <v>0.0</v>
      </c>
      <c r="D99" s="69"/>
      <c r="E99" s="69"/>
      <c r="F99" s="69"/>
      <c r="G99" s="64">
        <f>SUM(B99:D99)</f>
        <v>0</v>
      </c>
      <c r="H99" s="78"/>
      <c r="I99" s="40"/>
      <c r="J99" s="40"/>
      <c r="K99" s="40"/>
      <c r="L99" s="40"/>
      <c r="M99" s="40"/>
      <c r="N99" s="40"/>
      <c r="O99" s="40"/>
      <c r="P99" s="40"/>
      <c r="Q99" s="40"/>
      <c r="R99" s="40"/>
      <c r="S99" s="40"/>
      <c r="T99" s="40"/>
      <c r="U99" s="40"/>
      <c r="V99" s="40"/>
      <c r="W99" s="40"/>
      <c r="X99" s="40"/>
      <c r="Y99" s="40"/>
      <c r="Z99" s="40"/>
      <c r="AA99" s="40"/>
      <c r="AB99" s="40"/>
    </row>
    <row r="100">
      <c r="A100" s="51" t="s">
        <v>29</v>
      </c>
      <c r="B100" s="69"/>
      <c r="C100" s="69"/>
      <c r="D100" s="69"/>
      <c r="E100" s="69"/>
      <c r="F100" s="69"/>
      <c r="G100" s="64"/>
      <c r="H100" s="78"/>
      <c r="I100" s="40"/>
      <c r="J100" s="40"/>
      <c r="K100" s="40"/>
      <c r="L100" s="40"/>
      <c r="M100" s="40"/>
      <c r="N100" s="40"/>
      <c r="O100" s="40"/>
      <c r="P100" s="40"/>
      <c r="Q100" s="40"/>
      <c r="R100" s="40"/>
      <c r="S100" s="40"/>
      <c r="T100" s="40"/>
      <c r="U100" s="40"/>
      <c r="V100" s="40"/>
      <c r="W100" s="40"/>
      <c r="X100" s="40"/>
      <c r="Y100" s="40"/>
      <c r="Z100" s="40"/>
      <c r="AA100" s="40"/>
      <c r="AB100" s="40"/>
    </row>
    <row r="101">
      <c r="A101" s="51" t="s">
        <v>32</v>
      </c>
      <c r="B101" s="69"/>
      <c r="C101" s="69"/>
      <c r="D101" s="69"/>
      <c r="E101" s="69"/>
      <c r="F101" s="69"/>
      <c r="G101" s="64"/>
      <c r="H101" s="78"/>
      <c r="I101" s="40"/>
      <c r="J101" s="40"/>
      <c r="K101" s="40"/>
      <c r="L101" s="40"/>
      <c r="M101" s="40"/>
      <c r="N101" s="40"/>
      <c r="O101" s="40"/>
      <c r="P101" s="40"/>
      <c r="Q101" s="40"/>
      <c r="R101" s="40"/>
      <c r="S101" s="40"/>
      <c r="T101" s="40"/>
      <c r="U101" s="40"/>
      <c r="V101" s="40"/>
      <c r="W101" s="40"/>
      <c r="X101" s="40"/>
      <c r="Y101" s="40"/>
      <c r="Z101" s="40"/>
      <c r="AA101" s="40"/>
      <c r="AB101" s="40"/>
    </row>
    <row r="102">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row>
    <row r="103">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row>
    <row r="104">
      <c r="A104" s="97" t="s">
        <v>59</v>
      </c>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row>
    <row r="105">
      <c r="A105" s="7" t="s">
        <v>3</v>
      </c>
      <c r="B105" s="44" t="s">
        <v>38</v>
      </c>
      <c r="C105" s="44" t="s">
        <v>39</v>
      </c>
      <c r="D105" s="44" t="s">
        <v>40</v>
      </c>
      <c r="E105" s="44" t="s">
        <v>41</v>
      </c>
      <c r="F105" s="44" t="s">
        <v>42</v>
      </c>
      <c r="G105" s="44" t="s">
        <v>43</v>
      </c>
      <c r="H105" s="45" t="s">
        <v>17</v>
      </c>
      <c r="I105" s="47" t="s">
        <v>45</v>
      </c>
      <c r="J105" s="40"/>
      <c r="K105" s="40"/>
      <c r="L105" s="40"/>
      <c r="M105" s="40"/>
      <c r="N105" s="40"/>
      <c r="O105" s="40"/>
      <c r="P105" s="40"/>
      <c r="Q105" s="40"/>
      <c r="R105" s="40"/>
      <c r="S105" s="40"/>
      <c r="T105" s="40"/>
      <c r="U105" s="40"/>
      <c r="V105" s="40"/>
      <c r="W105" s="40"/>
      <c r="X105" s="40"/>
      <c r="Y105" s="40"/>
      <c r="Z105" s="40"/>
      <c r="AA105" s="40"/>
      <c r="AB105" s="40"/>
    </row>
    <row r="106">
      <c r="A106" s="51" t="s">
        <v>19</v>
      </c>
      <c r="B106" s="67">
        <v>149217.0</v>
      </c>
      <c r="C106" s="67">
        <v>175783.0</v>
      </c>
      <c r="D106" s="67"/>
      <c r="E106" s="67"/>
      <c r="F106" s="67"/>
      <c r="G106" s="77">
        <f t="shared" ref="G106:G108" si="78">SUM(B106:F106)</f>
        <v>325000</v>
      </c>
      <c r="H106" s="85">
        <f>F169</f>
        <v>450000</v>
      </c>
      <c r="I106" s="56">
        <f>$G106/$G$1*30</f>
        <v>513157.8947</v>
      </c>
      <c r="J106" s="86">
        <f>(H106-G106)/14</f>
        <v>8928.571429</v>
      </c>
      <c r="K106" s="40"/>
      <c r="L106" s="40"/>
      <c r="M106" s="40"/>
      <c r="N106" s="40"/>
      <c r="O106" s="40"/>
      <c r="P106" s="40"/>
      <c r="Q106" s="40"/>
      <c r="R106" s="40"/>
      <c r="S106" s="40"/>
      <c r="T106" s="40"/>
      <c r="U106" s="40"/>
      <c r="V106" s="40"/>
      <c r="W106" s="40"/>
      <c r="X106" s="40"/>
      <c r="Y106" s="40"/>
      <c r="Z106" s="40"/>
      <c r="AA106" s="40"/>
      <c r="AB106" s="40"/>
    </row>
    <row r="107">
      <c r="A107" s="51" t="s">
        <v>20</v>
      </c>
      <c r="B107" s="59">
        <f t="shared" ref="B107:F107" si="77">B106/$B$1</f>
        <v>100.1456376</v>
      </c>
      <c r="C107" s="59">
        <f t="shared" si="77"/>
        <v>117.9751678</v>
      </c>
      <c r="D107" s="59">
        <f t="shared" si="77"/>
        <v>0</v>
      </c>
      <c r="E107" s="59">
        <f t="shared" si="77"/>
        <v>0</v>
      </c>
      <c r="F107" s="59">
        <f t="shared" si="77"/>
        <v>0</v>
      </c>
      <c r="G107" s="60">
        <f t="shared" si="78"/>
        <v>218.1208054</v>
      </c>
      <c r="H107" s="87">
        <f>H106/$B$1</f>
        <v>302.0134228</v>
      </c>
      <c r="I107" s="66"/>
      <c r="J107" s="40"/>
      <c r="K107" s="40"/>
      <c r="L107" s="40"/>
      <c r="M107" s="40"/>
      <c r="N107" s="40"/>
      <c r="O107" s="40"/>
      <c r="P107" s="40"/>
      <c r="Q107" s="40"/>
      <c r="R107" s="40"/>
      <c r="S107" s="40"/>
      <c r="T107" s="40"/>
      <c r="U107" s="40"/>
      <c r="V107" s="40"/>
      <c r="W107" s="40"/>
      <c r="X107" s="40"/>
      <c r="Y107" s="40"/>
      <c r="Z107" s="40"/>
      <c r="AA107" s="40"/>
      <c r="AB107" s="40"/>
    </row>
    <row r="108">
      <c r="A108" s="51" t="s">
        <v>21</v>
      </c>
      <c r="B108" s="63">
        <v>16.0</v>
      </c>
      <c r="C108" s="63">
        <v>35.0</v>
      </c>
      <c r="D108" s="63"/>
      <c r="E108" s="63"/>
      <c r="F108" s="63"/>
      <c r="G108" s="64">
        <f t="shared" si="78"/>
        <v>51</v>
      </c>
      <c r="H108" s="65">
        <f>F172</f>
        <v>150</v>
      </c>
      <c r="I108" s="66">
        <f>$G108/$G$1*30</f>
        <v>80.52631579</v>
      </c>
      <c r="J108" s="40"/>
      <c r="K108" s="40"/>
      <c r="L108" s="40"/>
      <c r="M108" s="40"/>
      <c r="N108" s="40"/>
      <c r="O108" s="40"/>
      <c r="P108" s="40"/>
      <c r="Q108" s="40"/>
      <c r="R108" s="40"/>
      <c r="S108" s="40"/>
      <c r="T108" s="40"/>
      <c r="U108" s="40"/>
      <c r="V108" s="40"/>
      <c r="W108" s="40"/>
      <c r="X108" s="40"/>
      <c r="Y108" s="40"/>
      <c r="Z108" s="40"/>
      <c r="AA108" s="40"/>
      <c r="AB108" s="40"/>
    </row>
    <row r="109">
      <c r="A109" s="51" t="s">
        <v>22</v>
      </c>
      <c r="B109" s="90">
        <f t="shared" ref="B109:F109" si="79">B106/B108</f>
        <v>9326.0625</v>
      </c>
      <c r="C109" s="90">
        <f t="shared" si="79"/>
        <v>5022.371429</v>
      </c>
      <c r="D109" s="69" t="str">
        <f t="shared" si="79"/>
        <v>#DIV/0!</v>
      </c>
      <c r="E109" s="69" t="str">
        <f t="shared" si="79"/>
        <v>#DIV/0!</v>
      </c>
      <c r="F109" s="69" t="str">
        <f t="shared" si="79"/>
        <v>#DIV/0!</v>
      </c>
      <c r="G109" s="77">
        <f t="shared" ref="G109:G110" si="82">G106/G$108</f>
        <v>6372.54902</v>
      </c>
      <c r="H109" s="91">
        <f t="shared" ref="H109:I109" si="80">H106/H108</f>
        <v>3000</v>
      </c>
      <c r="I109" s="56">
        <f t="shared" si="80"/>
        <v>6372.54902</v>
      </c>
      <c r="J109" s="40"/>
      <c r="K109" s="40"/>
      <c r="L109" s="40"/>
      <c r="M109" s="40"/>
      <c r="N109" s="40"/>
      <c r="O109" s="40"/>
      <c r="P109" s="40"/>
      <c r="Q109" s="40"/>
      <c r="R109" s="40"/>
      <c r="S109" s="40"/>
      <c r="T109" s="40"/>
      <c r="U109" s="40"/>
      <c r="V109" s="40"/>
      <c r="W109" s="40"/>
      <c r="X109" s="40"/>
      <c r="Y109" s="40"/>
      <c r="Z109" s="40"/>
      <c r="AA109" s="40"/>
      <c r="AB109" s="40"/>
    </row>
    <row r="110">
      <c r="A110" s="51" t="s">
        <v>23</v>
      </c>
      <c r="B110" s="59">
        <f t="shared" ref="B110:F110" si="81">B109/$B$1</f>
        <v>6.259102349</v>
      </c>
      <c r="C110" s="59">
        <f t="shared" si="81"/>
        <v>3.37071908</v>
      </c>
      <c r="D110" s="59" t="str">
        <f t="shared" si="81"/>
        <v>#DIV/0!</v>
      </c>
      <c r="E110" s="59" t="str">
        <f t="shared" si="81"/>
        <v>#DIV/0!</v>
      </c>
      <c r="F110" s="59" t="str">
        <f t="shared" si="81"/>
        <v>#DIV/0!</v>
      </c>
      <c r="G110" s="60">
        <f t="shared" si="82"/>
        <v>4.276878537</v>
      </c>
      <c r="H110" s="87">
        <f>H109/$B$1</f>
        <v>2.013422819</v>
      </c>
      <c r="I110" s="66"/>
      <c r="J110" s="40"/>
      <c r="K110" s="40"/>
      <c r="L110" s="40"/>
      <c r="M110" s="40"/>
      <c r="N110" s="40"/>
      <c r="O110" s="40"/>
      <c r="P110" s="40"/>
      <c r="Q110" s="40"/>
      <c r="R110" s="40"/>
      <c r="S110" s="40"/>
      <c r="T110" s="40"/>
      <c r="U110" s="40"/>
      <c r="V110" s="40"/>
      <c r="W110" s="40"/>
      <c r="X110" s="40"/>
      <c r="Y110" s="40"/>
      <c r="Z110" s="40"/>
      <c r="AA110" s="40"/>
      <c r="AB110" s="40"/>
    </row>
    <row r="111">
      <c r="A111" s="51" t="s">
        <v>24</v>
      </c>
      <c r="B111" s="63">
        <v>1.0</v>
      </c>
      <c r="C111" s="63">
        <v>3.0</v>
      </c>
      <c r="D111" s="63"/>
      <c r="E111" s="63"/>
      <c r="F111" s="63"/>
      <c r="G111" s="64">
        <f>SUM(B111:F111)</f>
        <v>4</v>
      </c>
      <c r="H111" s="65">
        <f>F174</f>
        <v>9</v>
      </c>
      <c r="I111" s="66">
        <f>$G111/$G$1*30</f>
        <v>6.315789474</v>
      </c>
      <c r="J111" s="40"/>
      <c r="K111" s="40"/>
      <c r="L111" s="40"/>
      <c r="M111" s="40"/>
      <c r="N111" s="40"/>
      <c r="O111" s="40"/>
      <c r="P111" s="40"/>
      <c r="Q111" s="40"/>
      <c r="R111" s="40"/>
      <c r="S111" s="40"/>
      <c r="T111" s="40"/>
      <c r="U111" s="40"/>
      <c r="V111" s="40"/>
      <c r="W111" s="40"/>
      <c r="X111" s="40"/>
      <c r="Y111" s="40"/>
      <c r="Z111" s="40"/>
      <c r="AA111" s="40"/>
      <c r="AB111" s="40"/>
    </row>
    <row r="112">
      <c r="A112" s="51" t="s">
        <v>25</v>
      </c>
      <c r="B112" s="67">
        <f t="shared" ref="B112:F112" si="83">B106/B111</f>
        <v>149217</v>
      </c>
      <c r="C112" s="67">
        <f t="shared" si="83"/>
        <v>58594.33333</v>
      </c>
      <c r="D112" s="63" t="str">
        <f t="shared" si="83"/>
        <v>#DIV/0!</v>
      </c>
      <c r="E112" s="63" t="str">
        <f t="shared" si="83"/>
        <v>#DIV/0!</v>
      </c>
      <c r="F112" s="63" t="str">
        <f t="shared" si="83"/>
        <v>#DIV/0!</v>
      </c>
      <c r="G112" s="77">
        <f t="shared" ref="G112:G113" si="86">G106/G$111</f>
        <v>81250</v>
      </c>
      <c r="H112" s="91">
        <f t="shared" ref="H112:I112" si="84">H106/H111</f>
        <v>50000</v>
      </c>
      <c r="I112" s="71">
        <f t="shared" si="84"/>
        <v>81250</v>
      </c>
      <c r="J112" s="40"/>
      <c r="K112" s="40"/>
      <c r="L112" s="40"/>
      <c r="M112" s="40"/>
      <c r="N112" s="40"/>
      <c r="O112" s="40"/>
      <c r="P112" s="40"/>
      <c r="Q112" s="40"/>
      <c r="R112" s="40"/>
      <c r="S112" s="40"/>
      <c r="T112" s="40"/>
      <c r="U112" s="40"/>
      <c r="V112" s="40"/>
      <c r="W112" s="40"/>
      <c r="X112" s="40"/>
      <c r="Y112" s="40"/>
      <c r="Z112" s="40"/>
      <c r="AA112" s="40"/>
      <c r="AB112" s="40"/>
    </row>
    <row r="113">
      <c r="A113" s="51" t="s">
        <v>26</v>
      </c>
      <c r="B113" s="59">
        <f t="shared" ref="B113:F113" si="85">B112/$B$1</f>
        <v>100.1456376</v>
      </c>
      <c r="C113" s="59">
        <f t="shared" si="85"/>
        <v>39.32505593</v>
      </c>
      <c r="D113" s="59" t="str">
        <f t="shared" si="85"/>
        <v>#DIV/0!</v>
      </c>
      <c r="E113" s="59" t="str">
        <f t="shared" si="85"/>
        <v>#DIV/0!</v>
      </c>
      <c r="F113" s="59" t="str">
        <f t="shared" si="85"/>
        <v>#DIV/0!</v>
      </c>
      <c r="G113" s="60">
        <f t="shared" si="86"/>
        <v>54.53020134</v>
      </c>
      <c r="H113" s="87">
        <f>H112/$B$1</f>
        <v>33.55704698</v>
      </c>
      <c r="I113" s="73"/>
      <c r="J113" s="40"/>
      <c r="K113" s="40"/>
      <c r="L113" s="40"/>
      <c r="M113" s="40"/>
      <c r="N113" s="40"/>
      <c r="O113" s="40"/>
      <c r="P113" s="40"/>
      <c r="Q113" s="40"/>
      <c r="R113" s="40"/>
      <c r="S113" s="40"/>
      <c r="T113" s="40"/>
      <c r="U113" s="40"/>
      <c r="V113" s="40"/>
      <c r="W113" s="40"/>
      <c r="X113" s="40"/>
      <c r="Y113" s="40"/>
      <c r="Z113" s="40"/>
      <c r="AA113" s="40"/>
      <c r="AB113" s="40"/>
    </row>
    <row r="114">
      <c r="A114" s="51" t="s">
        <v>27</v>
      </c>
      <c r="B114" s="74"/>
      <c r="C114" s="74">
        <f t="shared" ref="C114:I114" si="87">C111/C108</f>
        <v>0.08571428571</v>
      </c>
      <c r="D114" s="74" t="str">
        <f t="shared" si="87"/>
        <v>#DIV/0!</v>
      </c>
      <c r="E114" s="74" t="str">
        <f t="shared" si="87"/>
        <v>#DIV/0!</v>
      </c>
      <c r="F114" s="74" t="str">
        <f t="shared" si="87"/>
        <v>#DIV/0!</v>
      </c>
      <c r="G114" s="75">
        <f t="shared" si="87"/>
        <v>0.07843137255</v>
      </c>
      <c r="H114" s="92">
        <f t="shared" si="87"/>
        <v>0.06</v>
      </c>
      <c r="I114" s="73">
        <f t="shared" si="87"/>
        <v>0.07843137255</v>
      </c>
      <c r="J114" s="40"/>
      <c r="K114" s="40"/>
      <c r="L114" s="40"/>
      <c r="M114" s="40"/>
      <c r="N114" s="40"/>
      <c r="O114" s="40"/>
      <c r="P114" s="40"/>
      <c r="Q114" s="40"/>
      <c r="R114" s="40"/>
      <c r="S114" s="40"/>
      <c r="T114" s="40"/>
      <c r="U114" s="40"/>
      <c r="V114" s="40"/>
      <c r="W114" s="40"/>
      <c r="X114" s="40"/>
      <c r="Y114" s="40"/>
      <c r="Z114" s="40"/>
      <c r="AA114" s="40"/>
      <c r="AB114" s="40"/>
    </row>
    <row r="115">
      <c r="A115" s="51" t="s">
        <v>28</v>
      </c>
      <c r="B115" s="63"/>
      <c r="C115" s="63"/>
      <c r="D115" s="69"/>
      <c r="E115" s="69"/>
      <c r="F115" s="69"/>
      <c r="G115" s="64">
        <f>SUM(B115:D115)</f>
        <v>0</v>
      </c>
      <c r="H115" s="78"/>
      <c r="I115" s="79">
        <f>$G115/$G$1*30</f>
        <v>0</v>
      </c>
      <c r="J115" s="40"/>
      <c r="K115" s="40"/>
      <c r="L115" s="40"/>
      <c r="M115" s="40"/>
      <c r="N115" s="40"/>
      <c r="O115" s="40"/>
      <c r="P115" s="40"/>
      <c r="Q115" s="40"/>
      <c r="R115" s="40"/>
      <c r="S115" s="40"/>
      <c r="T115" s="40"/>
      <c r="U115" s="40"/>
      <c r="V115" s="40"/>
      <c r="W115" s="40"/>
      <c r="X115" s="40"/>
      <c r="Y115" s="40"/>
      <c r="Z115" s="40"/>
      <c r="AA115" s="40"/>
      <c r="AB115" s="40"/>
    </row>
    <row r="116">
      <c r="A116" s="51" t="s">
        <v>29</v>
      </c>
      <c r="B116" s="69"/>
      <c r="C116" s="69"/>
      <c r="D116" s="69"/>
      <c r="E116" s="69"/>
      <c r="F116" s="69"/>
      <c r="G116" s="64"/>
      <c r="H116" s="78"/>
      <c r="I116" s="93" t="str">
        <f>I106/I115</f>
        <v>#DIV/0!</v>
      </c>
      <c r="J116" s="40"/>
      <c r="K116" s="40"/>
      <c r="L116" s="40"/>
      <c r="M116" s="40"/>
      <c r="N116" s="40"/>
      <c r="O116" s="40"/>
      <c r="P116" s="40"/>
      <c r="Q116" s="40"/>
      <c r="R116" s="40"/>
      <c r="S116" s="40"/>
      <c r="T116" s="40"/>
      <c r="U116" s="40"/>
      <c r="V116" s="40"/>
      <c r="W116" s="40"/>
      <c r="X116" s="40"/>
      <c r="Y116" s="40"/>
      <c r="Z116" s="40"/>
      <c r="AA116" s="40"/>
      <c r="AB116" s="40"/>
    </row>
    <row r="117">
      <c r="A117" s="51" t="s">
        <v>30</v>
      </c>
      <c r="B117" s="59">
        <f t="shared" ref="B117:D117" si="88">B116/$B$1</f>
        <v>0</v>
      </c>
      <c r="C117" s="59">
        <f t="shared" si="88"/>
        <v>0</v>
      </c>
      <c r="D117" s="59">
        <f t="shared" si="88"/>
        <v>0</v>
      </c>
      <c r="E117" s="69"/>
      <c r="F117" s="69"/>
      <c r="G117" s="64"/>
      <c r="H117" s="78"/>
      <c r="I117" s="80"/>
      <c r="J117" s="40"/>
      <c r="K117" s="40"/>
      <c r="L117" s="40"/>
      <c r="M117" s="40"/>
      <c r="N117" s="40"/>
      <c r="O117" s="40"/>
      <c r="P117" s="40"/>
      <c r="Q117" s="40"/>
      <c r="R117" s="40"/>
      <c r="S117" s="40"/>
      <c r="T117" s="40"/>
      <c r="U117" s="40"/>
      <c r="V117" s="40"/>
      <c r="W117" s="40"/>
      <c r="X117" s="40"/>
      <c r="Y117" s="40"/>
      <c r="Z117" s="40"/>
      <c r="AA117" s="40"/>
      <c r="AB117" s="40"/>
    </row>
    <row r="118">
      <c r="A118" s="51" t="s">
        <v>32</v>
      </c>
      <c r="B118" s="69"/>
      <c r="C118" s="69"/>
      <c r="D118" s="69"/>
      <c r="E118" s="69"/>
      <c r="F118" s="69"/>
      <c r="G118" s="64"/>
      <c r="H118" s="78"/>
      <c r="I118" s="80">
        <f>I115/I108</f>
        <v>0</v>
      </c>
      <c r="J118" s="40"/>
      <c r="K118" s="40"/>
      <c r="L118" s="40"/>
      <c r="M118" s="40"/>
      <c r="N118" s="40"/>
      <c r="O118" s="40"/>
      <c r="P118" s="40"/>
      <c r="Q118" s="40"/>
      <c r="R118" s="40"/>
      <c r="S118" s="40"/>
      <c r="T118" s="40"/>
      <c r="U118" s="40"/>
      <c r="V118" s="40"/>
      <c r="W118" s="40"/>
      <c r="X118" s="40"/>
      <c r="Y118" s="40"/>
      <c r="Z118" s="40"/>
      <c r="AA118" s="40"/>
      <c r="AB118" s="40"/>
    </row>
    <row r="119">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row>
    <row r="120">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row>
    <row r="121">
      <c r="A121" s="99" t="s">
        <v>60</v>
      </c>
      <c r="B121" s="40"/>
      <c r="C121" s="40"/>
      <c r="D121" s="40"/>
      <c r="E121" s="40"/>
      <c r="F121" s="40"/>
      <c r="G121" s="40"/>
      <c r="H121" s="40"/>
      <c r="I121" s="40"/>
      <c r="J121" s="40"/>
      <c r="K121" s="48"/>
      <c r="L121" s="49"/>
      <c r="M121" s="49"/>
      <c r="N121" s="49"/>
      <c r="O121" s="49"/>
      <c r="P121" s="49"/>
      <c r="Q121" s="50"/>
      <c r="R121" s="40"/>
      <c r="S121" s="40"/>
      <c r="T121" s="40"/>
      <c r="U121" s="40"/>
      <c r="V121" s="40"/>
      <c r="W121" s="40"/>
      <c r="X121" s="40"/>
      <c r="Y121" s="40"/>
      <c r="Z121" s="40"/>
      <c r="AA121" s="40"/>
      <c r="AB121" s="40"/>
    </row>
    <row r="122">
      <c r="A122" s="7" t="s">
        <v>3</v>
      </c>
      <c r="B122" s="44" t="s">
        <v>38</v>
      </c>
      <c r="C122" s="44" t="s">
        <v>39</v>
      </c>
      <c r="D122" s="44" t="s">
        <v>40</v>
      </c>
      <c r="E122" s="44" t="s">
        <v>41</v>
      </c>
      <c r="F122" s="44" t="s">
        <v>42</v>
      </c>
      <c r="G122" s="44" t="s">
        <v>43</v>
      </c>
      <c r="H122" s="45" t="s">
        <v>17</v>
      </c>
      <c r="I122" s="47" t="s">
        <v>45</v>
      </c>
      <c r="J122" s="40"/>
      <c r="K122" s="57"/>
      <c r="Q122" s="58"/>
      <c r="R122" s="40"/>
      <c r="S122" s="40"/>
      <c r="T122" s="40"/>
      <c r="U122" s="40"/>
      <c r="V122" s="40"/>
      <c r="W122" s="40"/>
      <c r="X122" s="40"/>
      <c r="Y122" s="40"/>
      <c r="Z122" s="40"/>
      <c r="AA122" s="40"/>
      <c r="AB122" s="40"/>
    </row>
    <row r="123">
      <c r="A123" s="51" t="s">
        <v>19</v>
      </c>
      <c r="B123" s="67"/>
      <c r="C123" s="67"/>
      <c r="D123" s="67"/>
      <c r="E123" s="67"/>
      <c r="F123" s="67">
        <v>557670.0</v>
      </c>
      <c r="G123" s="77">
        <f t="shared" ref="G123:G125" si="90">SUM(B123:F123)</f>
        <v>557670</v>
      </c>
      <c r="H123" s="85">
        <f>G169</f>
        <v>600000</v>
      </c>
      <c r="I123" s="56">
        <f>$G123/$G$1*30</f>
        <v>880531.5789</v>
      </c>
      <c r="J123" s="86">
        <f>(H123-G123)/15</f>
        <v>2822</v>
      </c>
      <c r="K123" s="57"/>
      <c r="Q123" s="58"/>
      <c r="R123" s="40"/>
      <c r="S123" s="40"/>
      <c r="T123" s="40"/>
      <c r="U123" s="40"/>
      <c r="V123" s="40"/>
      <c r="W123" s="40"/>
      <c r="X123" s="40"/>
      <c r="Y123" s="40"/>
      <c r="Z123" s="40"/>
      <c r="AA123" s="40"/>
      <c r="AB123" s="40"/>
    </row>
    <row r="124">
      <c r="A124" s="51" t="s">
        <v>20</v>
      </c>
      <c r="B124" s="59">
        <f t="shared" ref="B124:F124" si="89">B123/$B$1</f>
        <v>0</v>
      </c>
      <c r="C124" s="59">
        <f t="shared" si="89"/>
        <v>0</v>
      </c>
      <c r="D124" s="59">
        <f t="shared" si="89"/>
        <v>0</v>
      </c>
      <c r="E124" s="59">
        <f t="shared" si="89"/>
        <v>0</v>
      </c>
      <c r="F124" s="59">
        <f t="shared" si="89"/>
        <v>374.2751678</v>
      </c>
      <c r="G124" s="60">
        <f t="shared" si="90"/>
        <v>374.2751678</v>
      </c>
      <c r="H124" s="87">
        <f>H123/$B$1</f>
        <v>402.6845638</v>
      </c>
      <c r="I124" s="66"/>
      <c r="J124" s="40"/>
      <c r="K124" s="57"/>
      <c r="Q124" s="58"/>
      <c r="R124" s="40"/>
      <c r="S124" s="40"/>
      <c r="T124" s="40"/>
      <c r="U124" s="40"/>
      <c r="V124" s="40"/>
      <c r="W124" s="40"/>
      <c r="X124" s="40"/>
      <c r="Y124" s="40"/>
      <c r="Z124" s="40"/>
      <c r="AA124" s="40"/>
      <c r="AB124" s="40"/>
    </row>
    <row r="125">
      <c r="A125" s="51" t="s">
        <v>21</v>
      </c>
      <c r="B125" s="63"/>
      <c r="C125" s="63"/>
      <c r="D125" s="63"/>
      <c r="E125" s="63"/>
      <c r="F125" s="63"/>
      <c r="G125" s="64">
        <f t="shared" si="90"/>
        <v>0</v>
      </c>
      <c r="H125" s="65">
        <f>G172</f>
        <v>60</v>
      </c>
      <c r="I125" s="66">
        <f>$G125/$G$1*30</f>
        <v>0</v>
      </c>
      <c r="J125" s="40"/>
      <c r="K125" s="57"/>
      <c r="Q125" s="58"/>
      <c r="R125" s="40"/>
      <c r="S125" s="40"/>
      <c r="T125" s="40"/>
      <c r="U125" s="40"/>
      <c r="V125" s="40"/>
      <c r="W125" s="40"/>
      <c r="X125" s="40"/>
      <c r="Y125" s="40"/>
      <c r="Z125" s="40"/>
      <c r="AA125" s="40"/>
      <c r="AB125" s="40"/>
    </row>
    <row r="126">
      <c r="A126" s="51" t="s">
        <v>22</v>
      </c>
      <c r="B126" s="69" t="str">
        <f t="shared" ref="B126:D126" si="91">B123/B125</f>
        <v>#DIV/0!</v>
      </c>
      <c r="C126" s="69" t="str">
        <f t="shared" si="91"/>
        <v>#DIV/0!</v>
      </c>
      <c r="D126" s="69" t="str">
        <f t="shared" si="91"/>
        <v>#DIV/0!</v>
      </c>
      <c r="E126" s="69" t="str">
        <f t="shared" ref="E126:F126" si="92">E106/E125</f>
        <v>#DIV/0!</v>
      </c>
      <c r="F126" s="69" t="str">
        <f t="shared" si="92"/>
        <v>#DIV/0!</v>
      </c>
      <c r="G126" s="64" t="str">
        <f t="shared" ref="G126:G127" si="95">G123/G$125</f>
        <v>#DIV/0!</v>
      </c>
      <c r="H126" s="91">
        <f t="shared" ref="H126:I126" si="93">H123/H125</f>
        <v>10000</v>
      </c>
      <c r="I126" s="56" t="str">
        <f t="shared" si="93"/>
        <v>#DIV/0!</v>
      </c>
      <c r="J126" s="40"/>
      <c r="K126" s="57"/>
      <c r="Q126" s="58"/>
      <c r="R126" s="40"/>
      <c r="S126" s="40"/>
      <c r="T126" s="40"/>
      <c r="U126" s="40"/>
      <c r="V126" s="40"/>
      <c r="W126" s="40"/>
      <c r="X126" s="40"/>
      <c r="Y126" s="40"/>
      <c r="Z126" s="40"/>
      <c r="AA126" s="40"/>
      <c r="AB126" s="40"/>
    </row>
    <row r="127">
      <c r="A127" s="51" t="s">
        <v>23</v>
      </c>
      <c r="B127" s="59" t="str">
        <f t="shared" ref="B127:F127" si="94">B126/$B$1</f>
        <v>#DIV/0!</v>
      </c>
      <c r="C127" s="59" t="str">
        <f t="shared" si="94"/>
        <v>#DIV/0!</v>
      </c>
      <c r="D127" s="59" t="str">
        <f t="shared" si="94"/>
        <v>#DIV/0!</v>
      </c>
      <c r="E127" s="59" t="str">
        <f t="shared" si="94"/>
        <v>#DIV/0!</v>
      </c>
      <c r="F127" s="59" t="str">
        <f t="shared" si="94"/>
        <v>#DIV/0!</v>
      </c>
      <c r="G127" s="64" t="str">
        <f t="shared" si="95"/>
        <v>#DIV/0!</v>
      </c>
      <c r="H127" s="87">
        <f>H126/$B$1</f>
        <v>6.711409396</v>
      </c>
      <c r="I127" s="66"/>
      <c r="J127" s="40"/>
      <c r="K127" s="57"/>
      <c r="Q127" s="58"/>
      <c r="R127" s="40"/>
      <c r="S127" s="40"/>
      <c r="T127" s="40"/>
      <c r="U127" s="40"/>
      <c r="V127" s="40"/>
      <c r="W127" s="40"/>
      <c r="X127" s="40"/>
      <c r="Y127" s="40"/>
      <c r="Z127" s="40"/>
      <c r="AA127" s="40"/>
      <c r="AB127" s="40"/>
    </row>
    <row r="128">
      <c r="A128" s="51" t="s">
        <v>24</v>
      </c>
      <c r="B128" s="63"/>
      <c r="C128" s="63"/>
      <c r="D128" s="63"/>
      <c r="E128" s="63"/>
      <c r="F128" s="63"/>
      <c r="G128" s="64">
        <f>SUM(B128:D128)</f>
        <v>0</v>
      </c>
      <c r="H128" s="65">
        <f>G174</f>
        <v>3.6</v>
      </c>
      <c r="I128" s="66">
        <f>$G128/$G$1*30</f>
        <v>0</v>
      </c>
      <c r="J128" s="40"/>
      <c r="K128" s="57"/>
      <c r="Q128" s="58"/>
      <c r="R128" s="40"/>
      <c r="S128" s="40"/>
      <c r="T128" s="40"/>
      <c r="U128" s="40"/>
      <c r="V128" s="40"/>
      <c r="W128" s="40"/>
      <c r="X128" s="40"/>
      <c r="Y128" s="40"/>
      <c r="Z128" s="40"/>
      <c r="AA128" s="40"/>
      <c r="AB128" s="40"/>
    </row>
    <row r="129">
      <c r="A129" s="51" t="s">
        <v>25</v>
      </c>
      <c r="B129" s="69" t="str">
        <f t="shared" ref="B129:C129" si="96">B123/B128</f>
        <v>#DIV/0!</v>
      </c>
      <c r="C129" s="69" t="str">
        <f t="shared" si="96"/>
        <v>#DIV/0!</v>
      </c>
      <c r="D129" s="69" t="str">
        <f t="shared" ref="D129:E129" si="97">D106/D128</f>
        <v>#DIV/0!</v>
      </c>
      <c r="E129" s="69" t="str">
        <f t="shared" si="97"/>
        <v>#DIV/0!</v>
      </c>
      <c r="F129" s="69"/>
      <c r="G129" s="64" t="str">
        <f t="shared" ref="G129:G130" si="100">G123/G$128</f>
        <v>#DIV/0!</v>
      </c>
      <c r="H129" s="91">
        <f t="shared" ref="H129:I129" si="98">H123/H128</f>
        <v>166666.6667</v>
      </c>
      <c r="I129" s="71" t="str">
        <f t="shared" si="98"/>
        <v>#DIV/0!</v>
      </c>
      <c r="J129" s="40"/>
      <c r="K129" s="57"/>
      <c r="Q129" s="58"/>
      <c r="R129" s="40"/>
      <c r="S129" s="40"/>
      <c r="T129" s="40"/>
      <c r="U129" s="40"/>
      <c r="V129" s="40"/>
      <c r="W129" s="40"/>
      <c r="X129" s="40"/>
      <c r="Y129" s="40"/>
      <c r="Z129" s="40"/>
      <c r="AA129" s="40"/>
      <c r="AB129" s="40"/>
    </row>
    <row r="130">
      <c r="A130" s="51" t="s">
        <v>26</v>
      </c>
      <c r="B130" s="59" t="str">
        <f t="shared" ref="B130:E130" si="99">B129/$B$1</f>
        <v>#DIV/0!</v>
      </c>
      <c r="C130" s="59" t="str">
        <f t="shared" si="99"/>
        <v>#DIV/0!</v>
      </c>
      <c r="D130" s="59" t="str">
        <f t="shared" si="99"/>
        <v>#DIV/0!</v>
      </c>
      <c r="E130" s="59" t="str">
        <f t="shared" si="99"/>
        <v>#DIV/0!</v>
      </c>
      <c r="F130" s="69"/>
      <c r="G130" s="64" t="str">
        <f t="shared" si="100"/>
        <v>#DIV/0!</v>
      </c>
      <c r="H130" s="87">
        <f>H129/$B$1</f>
        <v>111.8568233</v>
      </c>
      <c r="I130" s="73"/>
      <c r="J130" s="40"/>
      <c r="K130" s="57"/>
      <c r="Q130" s="58"/>
      <c r="R130" s="40"/>
      <c r="S130" s="40"/>
      <c r="T130" s="40"/>
      <c r="U130" s="40"/>
      <c r="V130" s="40"/>
      <c r="W130" s="40"/>
      <c r="X130" s="40"/>
      <c r="Y130" s="40"/>
      <c r="Z130" s="40"/>
      <c r="AA130" s="40"/>
      <c r="AB130" s="40"/>
    </row>
    <row r="131">
      <c r="A131" s="51" t="s">
        <v>27</v>
      </c>
      <c r="B131" s="74" t="str">
        <f t="shared" ref="B131:E131" si="101">B128/B125</f>
        <v>#DIV/0!</v>
      </c>
      <c r="C131" s="74" t="str">
        <f t="shared" si="101"/>
        <v>#DIV/0!</v>
      </c>
      <c r="D131" s="74" t="str">
        <f t="shared" si="101"/>
        <v>#DIV/0!</v>
      </c>
      <c r="E131" s="74" t="str">
        <f t="shared" si="101"/>
        <v>#DIV/0!</v>
      </c>
      <c r="F131" s="69"/>
      <c r="G131" s="75" t="str">
        <f t="shared" ref="G131:I131" si="102">G128/G125</f>
        <v>#DIV/0!</v>
      </c>
      <c r="H131" s="92">
        <f t="shared" si="102"/>
        <v>0.06</v>
      </c>
      <c r="I131" s="73" t="str">
        <f t="shared" si="102"/>
        <v>#DIV/0!</v>
      </c>
      <c r="J131" s="40"/>
      <c r="K131" s="57"/>
      <c r="Q131" s="58"/>
      <c r="R131" s="40"/>
      <c r="S131" s="40"/>
      <c r="T131" s="40"/>
      <c r="U131" s="40"/>
      <c r="V131" s="40"/>
      <c r="W131" s="40"/>
      <c r="X131" s="40"/>
      <c r="Y131" s="40"/>
      <c r="Z131" s="40"/>
      <c r="AA131" s="40"/>
      <c r="AB131" s="40"/>
    </row>
    <row r="132">
      <c r="A132" s="51" t="s">
        <v>28</v>
      </c>
      <c r="B132" s="63">
        <v>0.0</v>
      </c>
      <c r="C132" s="63">
        <v>0.0</v>
      </c>
      <c r="D132" s="63">
        <v>0.0</v>
      </c>
      <c r="E132" s="69"/>
      <c r="F132" s="69"/>
      <c r="G132" s="64">
        <f>SUM(B132:D132)</f>
        <v>0</v>
      </c>
      <c r="H132" s="78"/>
      <c r="I132" s="79">
        <f>$G132/$G$1*30</f>
        <v>0</v>
      </c>
      <c r="J132" s="40"/>
      <c r="K132" s="57"/>
      <c r="Q132" s="58"/>
      <c r="R132" s="40"/>
      <c r="S132" s="40"/>
      <c r="T132" s="40"/>
      <c r="U132" s="40"/>
      <c r="V132" s="40"/>
      <c r="W132" s="40"/>
      <c r="X132" s="40"/>
      <c r="Y132" s="40"/>
      <c r="Z132" s="40"/>
      <c r="AA132" s="40"/>
      <c r="AB132" s="40"/>
    </row>
    <row r="133">
      <c r="A133" s="51" t="s">
        <v>29</v>
      </c>
      <c r="B133" s="69"/>
      <c r="C133" s="69"/>
      <c r="D133" s="69"/>
      <c r="E133" s="69"/>
      <c r="F133" s="69"/>
      <c r="G133" s="64"/>
      <c r="H133" s="78"/>
      <c r="I133" s="93" t="str">
        <f>I123/I132</f>
        <v>#DIV/0!</v>
      </c>
      <c r="J133" s="40"/>
      <c r="K133" s="57"/>
      <c r="Q133" s="58"/>
      <c r="R133" s="40"/>
      <c r="S133" s="40"/>
      <c r="T133" s="40"/>
      <c r="U133" s="40"/>
      <c r="V133" s="40"/>
      <c r="W133" s="40"/>
      <c r="X133" s="40"/>
      <c r="Y133" s="40"/>
      <c r="Z133" s="40"/>
      <c r="AA133" s="40"/>
      <c r="AB133" s="40"/>
    </row>
    <row r="134">
      <c r="A134" s="51" t="s">
        <v>30</v>
      </c>
      <c r="B134" s="59">
        <f t="shared" ref="B134:D134" si="103">B133/$B$1</f>
        <v>0</v>
      </c>
      <c r="C134" s="59">
        <f t="shared" si="103"/>
        <v>0</v>
      </c>
      <c r="D134" s="59">
        <f t="shared" si="103"/>
        <v>0</v>
      </c>
      <c r="E134" s="69"/>
      <c r="F134" s="69"/>
      <c r="G134" s="64"/>
      <c r="H134" s="78"/>
      <c r="I134" s="80"/>
      <c r="J134" s="40"/>
      <c r="K134" s="81"/>
      <c r="L134" s="82"/>
      <c r="M134" s="82"/>
      <c r="N134" s="82"/>
      <c r="O134" s="82"/>
      <c r="P134" s="82"/>
      <c r="Q134" s="83"/>
      <c r="R134" s="40"/>
      <c r="S134" s="40"/>
      <c r="T134" s="40"/>
      <c r="U134" s="40"/>
      <c r="V134" s="40"/>
      <c r="W134" s="40"/>
      <c r="X134" s="40"/>
      <c r="Y134" s="40"/>
      <c r="Z134" s="40"/>
      <c r="AA134" s="40"/>
      <c r="AB134" s="40"/>
    </row>
    <row r="135">
      <c r="A135" s="51" t="s">
        <v>32</v>
      </c>
      <c r="B135" s="69"/>
      <c r="C135" s="69"/>
      <c r="D135" s="69"/>
      <c r="E135" s="69"/>
      <c r="F135" s="69"/>
      <c r="G135" s="64"/>
      <c r="H135" s="78"/>
      <c r="I135" s="80" t="str">
        <f>I132/I125</f>
        <v>#DIV/0!</v>
      </c>
      <c r="J135" s="40"/>
      <c r="K135" s="40"/>
      <c r="L135" s="40"/>
      <c r="M135" s="40"/>
      <c r="N135" s="40"/>
      <c r="O135" s="40"/>
      <c r="P135" s="40"/>
      <c r="Q135" s="40"/>
      <c r="R135" s="40"/>
      <c r="S135" s="40"/>
      <c r="T135" s="40"/>
      <c r="U135" s="40"/>
      <c r="V135" s="40"/>
      <c r="W135" s="40"/>
      <c r="X135" s="40"/>
      <c r="Y135" s="40"/>
      <c r="Z135" s="40"/>
      <c r="AA135" s="40"/>
      <c r="AB135" s="40"/>
    </row>
    <row r="136">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row>
    <row r="137">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row>
    <row r="138">
      <c r="A138" s="43" t="s">
        <v>61</v>
      </c>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row>
    <row r="139">
      <c r="A139" s="7" t="s">
        <v>3</v>
      </c>
      <c r="B139" s="44" t="s">
        <v>38</v>
      </c>
      <c r="C139" s="44" t="s">
        <v>39</v>
      </c>
      <c r="D139" s="44" t="s">
        <v>40</v>
      </c>
      <c r="E139" s="44" t="s">
        <v>41</v>
      </c>
      <c r="F139" s="44" t="s">
        <v>42</v>
      </c>
      <c r="G139" s="44" t="s">
        <v>43</v>
      </c>
      <c r="H139" s="40"/>
      <c r="I139" s="40"/>
      <c r="J139" s="40"/>
      <c r="K139" s="40"/>
      <c r="L139" s="40"/>
      <c r="M139" s="40"/>
      <c r="N139" s="40"/>
      <c r="O139" s="40"/>
      <c r="P139" s="40"/>
      <c r="Q139" s="40"/>
      <c r="R139" s="40"/>
      <c r="S139" s="40"/>
      <c r="T139" s="40"/>
      <c r="U139" s="40"/>
      <c r="V139" s="40"/>
      <c r="W139" s="40"/>
      <c r="X139" s="40"/>
      <c r="Y139" s="40"/>
      <c r="Z139" s="40"/>
      <c r="AA139" s="40"/>
      <c r="AB139" s="40"/>
    </row>
    <row r="140">
      <c r="A140" s="51" t="s">
        <v>62</v>
      </c>
      <c r="B140" s="67">
        <f t="shared" ref="B140:E140" si="104">B106+B93+B76+B59+B42+B25</f>
        <v>1653942</v>
      </c>
      <c r="C140" s="67">
        <f t="shared" si="104"/>
        <v>1774568</v>
      </c>
      <c r="D140" s="67">
        <f t="shared" si="104"/>
        <v>0</v>
      </c>
      <c r="E140" s="67">
        <f t="shared" si="104"/>
        <v>0</v>
      </c>
      <c r="F140" s="67" t="str">
        <f>F4</f>
        <v/>
      </c>
      <c r="G140" s="77">
        <f t="shared" ref="G140:G144" si="106">SUM(B140:F140)</f>
        <v>3428510</v>
      </c>
      <c r="H140" s="40"/>
      <c r="I140" s="40"/>
      <c r="J140" s="40"/>
      <c r="K140" s="40"/>
      <c r="L140" s="40"/>
      <c r="M140" s="40"/>
      <c r="N140" s="40"/>
      <c r="O140" s="40"/>
      <c r="P140" s="40"/>
      <c r="Q140" s="40"/>
      <c r="R140" s="40"/>
      <c r="S140" s="40"/>
      <c r="T140" s="40"/>
      <c r="U140" s="40"/>
      <c r="V140" s="40"/>
      <c r="W140" s="40"/>
      <c r="X140" s="40"/>
      <c r="Y140" s="40"/>
      <c r="Z140" s="40"/>
      <c r="AA140" s="40"/>
      <c r="AB140" s="40"/>
    </row>
    <row r="141">
      <c r="A141" s="51" t="s">
        <v>63</v>
      </c>
      <c r="B141" s="67" t="str">
        <f t="shared" ref="B141:F141" si="105">B123</f>
        <v/>
      </c>
      <c r="C141" s="67" t="str">
        <f t="shared" si="105"/>
        <v/>
      </c>
      <c r="D141" s="67" t="str">
        <f t="shared" si="105"/>
        <v/>
      </c>
      <c r="E141" s="67" t="str">
        <f t="shared" si="105"/>
        <v/>
      </c>
      <c r="F141" s="67">
        <f t="shared" si="105"/>
        <v>557670</v>
      </c>
      <c r="G141" s="77">
        <f t="shared" si="106"/>
        <v>557670</v>
      </c>
      <c r="H141" s="40"/>
      <c r="I141" s="40"/>
      <c r="J141" s="40"/>
      <c r="K141" s="40"/>
      <c r="L141" s="40"/>
      <c r="M141" s="40"/>
      <c r="N141" s="40"/>
      <c r="O141" s="40"/>
      <c r="P141" s="40"/>
      <c r="Q141" s="40"/>
      <c r="R141" s="40"/>
      <c r="S141" s="40"/>
      <c r="T141" s="40"/>
      <c r="U141" s="40"/>
      <c r="V141" s="40"/>
      <c r="W141" s="40"/>
      <c r="X141" s="40"/>
      <c r="Y141" s="40"/>
      <c r="Z141" s="40"/>
      <c r="AA141" s="40"/>
      <c r="AB141" s="40"/>
    </row>
    <row r="142">
      <c r="A142" s="51" t="s">
        <v>64</v>
      </c>
      <c r="B142" s="69">
        <f t="shared" ref="B142:F142" si="107">B143+B144</f>
        <v>30</v>
      </c>
      <c r="C142" s="69">
        <f t="shared" si="107"/>
        <v>24</v>
      </c>
      <c r="D142" s="69">
        <f t="shared" si="107"/>
        <v>0</v>
      </c>
      <c r="E142" s="69">
        <f t="shared" si="107"/>
        <v>0</v>
      </c>
      <c r="F142" s="69">
        <f t="shared" si="107"/>
        <v>0</v>
      </c>
      <c r="G142" s="64">
        <f t="shared" si="106"/>
        <v>54</v>
      </c>
      <c r="H142" s="40"/>
      <c r="I142" s="40"/>
      <c r="J142" s="40"/>
      <c r="K142" s="40"/>
      <c r="L142" s="40"/>
      <c r="M142" s="40"/>
      <c r="N142" s="40"/>
      <c r="O142" s="40"/>
      <c r="P142" s="40"/>
      <c r="Q142" s="40"/>
      <c r="R142" s="40"/>
      <c r="S142" s="40"/>
      <c r="T142" s="40"/>
      <c r="U142" s="40"/>
      <c r="V142" s="40"/>
      <c r="W142" s="40"/>
      <c r="X142" s="40"/>
      <c r="Y142" s="40"/>
      <c r="Z142" s="40"/>
      <c r="AA142" s="40"/>
      <c r="AB142" s="40"/>
    </row>
    <row r="143">
      <c r="A143" s="51" t="s">
        <v>65</v>
      </c>
      <c r="B143" s="63">
        <f t="shared" ref="B143:F143" si="108">B111+B96+B81+B64+B47+B30</f>
        <v>30</v>
      </c>
      <c r="C143" s="63">
        <f t="shared" si="108"/>
        <v>24</v>
      </c>
      <c r="D143" s="63">
        <f t="shared" si="108"/>
        <v>0</v>
      </c>
      <c r="E143" s="63">
        <f t="shared" si="108"/>
        <v>0</v>
      </c>
      <c r="F143" s="63">
        <f t="shared" si="108"/>
        <v>0</v>
      </c>
      <c r="G143" s="64">
        <f t="shared" si="106"/>
        <v>54</v>
      </c>
      <c r="H143" s="40"/>
      <c r="I143" s="40"/>
      <c r="J143" s="40"/>
      <c r="K143" s="40"/>
      <c r="L143" s="40"/>
      <c r="M143" s="40"/>
      <c r="N143" s="40"/>
      <c r="O143" s="40"/>
      <c r="P143" s="40"/>
      <c r="Q143" s="40"/>
      <c r="R143" s="40"/>
      <c r="S143" s="40"/>
      <c r="T143" s="40"/>
      <c r="U143" s="40"/>
      <c r="V143" s="40"/>
      <c r="W143" s="40"/>
      <c r="X143" s="40"/>
      <c r="Y143" s="40"/>
      <c r="Z143" s="40"/>
      <c r="AA143" s="40"/>
      <c r="AB143" s="40"/>
    </row>
    <row r="144">
      <c r="A144" s="51" t="s">
        <v>66</v>
      </c>
      <c r="B144" s="63" t="str">
        <f t="shared" ref="B144:F144" si="109">B128</f>
        <v/>
      </c>
      <c r="C144" s="63" t="str">
        <f t="shared" si="109"/>
        <v/>
      </c>
      <c r="D144" s="63" t="str">
        <f t="shared" si="109"/>
        <v/>
      </c>
      <c r="E144" s="63" t="str">
        <f t="shared" si="109"/>
        <v/>
      </c>
      <c r="F144" s="63" t="str">
        <f t="shared" si="109"/>
        <v/>
      </c>
      <c r="G144" s="64">
        <f t="shared" si="106"/>
        <v>0</v>
      </c>
      <c r="H144" s="40"/>
      <c r="I144" s="40"/>
      <c r="J144" s="40"/>
      <c r="K144" s="40"/>
      <c r="L144" s="40"/>
      <c r="M144" s="40"/>
      <c r="N144" s="40"/>
      <c r="O144" s="40"/>
      <c r="P144" s="40"/>
      <c r="Q144" s="40"/>
      <c r="R144" s="40"/>
      <c r="S144" s="40"/>
      <c r="T144" s="40"/>
      <c r="U144" s="40"/>
      <c r="V144" s="40"/>
      <c r="W144" s="40"/>
      <c r="X144" s="40"/>
      <c r="Y144" s="40"/>
      <c r="Z144" s="40"/>
      <c r="AA144" s="40"/>
      <c r="AB144" s="40"/>
    </row>
    <row r="145">
      <c r="A145" s="51" t="s">
        <v>67</v>
      </c>
      <c r="B145" s="90">
        <f t="shared" ref="B145:B146" si="111">B140/B143</f>
        <v>55131.4</v>
      </c>
      <c r="C145" s="90">
        <f t="shared" ref="C145:G145" si="110">C140/C142</f>
        <v>73940.33333</v>
      </c>
      <c r="D145" s="69" t="str">
        <f t="shared" si="110"/>
        <v>#DIV/0!</v>
      </c>
      <c r="E145" s="69" t="str">
        <f t="shared" si="110"/>
        <v>#DIV/0!</v>
      </c>
      <c r="F145" s="69" t="str">
        <f t="shared" si="110"/>
        <v>#DIV/0!</v>
      </c>
      <c r="G145" s="77">
        <f t="shared" si="110"/>
        <v>63490.92593</v>
      </c>
      <c r="H145" s="40"/>
      <c r="I145" s="40"/>
      <c r="J145" s="40"/>
      <c r="K145" s="40"/>
      <c r="L145" s="40"/>
      <c r="M145" s="40"/>
      <c r="N145" s="40"/>
      <c r="O145" s="40"/>
      <c r="P145" s="40"/>
      <c r="Q145" s="40"/>
      <c r="R145" s="40"/>
      <c r="S145" s="40"/>
      <c r="T145" s="40"/>
      <c r="U145" s="40"/>
      <c r="V145" s="40"/>
      <c r="W145" s="40"/>
      <c r="X145" s="40"/>
      <c r="Y145" s="40"/>
      <c r="Z145" s="40"/>
      <c r="AA145" s="40"/>
      <c r="AB145" s="40"/>
    </row>
    <row r="146">
      <c r="A146" s="51" t="s">
        <v>68</v>
      </c>
      <c r="B146" s="69" t="str">
        <f t="shared" si="111"/>
        <v>#DIV/0!</v>
      </c>
      <c r="C146" s="69" t="str">
        <f t="shared" ref="C146:G146" si="112">C141/C144</f>
        <v>#DIV/0!</v>
      </c>
      <c r="D146" s="69" t="str">
        <f t="shared" si="112"/>
        <v>#DIV/0!</v>
      </c>
      <c r="E146" s="69" t="str">
        <f t="shared" si="112"/>
        <v>#DIV/0!</v>
      </c>
      <c r="F146" s="69" t="str">
        <f t="shared" si="112"/>
        <v>#DIV/0!</v>
      </c>
      <c r="G146" s="64" t="str">
        <f t="shared" si="112"/>
        <v>#DIV/0!</v>
      </c>
      <c r="H146" s="40"/>
      <c r="I146" s="40"/>
      <c r="J146" s="40"/>
      <c r="K146" s="40"/>
      <c r="L146" s="40"/>
      <c r="M146" s="40"/>
      <c r="N146" s="40"/>
      <c r="O146" s="40"/>
      <c r="P146" s="40"/>
      <c r="Q146" s="40"/>
      <c r="R146" s="40"/>
      <c r="S146" s="40"/>
      <c r="T146" s="40"/>
      <c r="U146" s="40"/>
      <c r="V146" s="40"/>
      <c r="W146" s="40"/>
      <c r="X146" s="40"/>
      <c r="Y146" s="40"/>
      <c r="Z146" s="40"/>
      <c r="AA146" s="40"/>
      <c r="AB146" s="40"/>
    </row>
    <row r="147">
      <c r="A147" s="51" t="s">
        <v>69</v>
      </c>
      <c r="B147" s="63">
        <v>0.0</v>
      </c>
      <c r="C147" s="63">
        <v>0.0</v>
      </c>
      <c r="D147" s="63">
        <v>0.0</v>
      </c>
      <c r="E147" s="63">
        <v>0.0</v>
      </c>
      <c r="F147" s="63">
        <v>0.0</v>
      </c>
      <c r="G147" s="64"/>
      <c r="H147" s="40"/>
      <c r="I147" s="40"/>
      <c r="J147" s="40"/>
      <c r="K147" s="40"/>
      <c r="L147" s="40"/>
      <c r="M147" s="40"/>
      <c r="N147" s="40"/>
      <c r="O147" s="40"/>
      <c r="P147" s="40"/>
      <c r="Q147" s="40"/>
      <c r="R147" s="40"/>
      <c r="S147" s="40"/>
      <c r="T147" s="40"/>
      <c r="U147" s="40"/>
      <c r="V147" s="40"/>
      <c r="W147" s="40"/>
      <c r="X147" s="40"/>
      <c r="Y147" s="40"/>
      <c r="Z147" s="40"/>
      <c r="AA147" s="40"/>
      <c r="AB147" s="40"/>
    </row>
    <row r="148">
      <c r="A148" s="51" t="s">
        <v>70</v>
      </c>
      <c r="B148" s="63">
        <v>0.0</v>
      </c>
      <c r="C148" s="63">
        <v>0.0</v>
      </c>
      <c r="D148" s="63">
        <v>0.0</v>
      </c>
      <c r="E148" s="63">
        <v>0.0</v>
      </c>
      <c r="F148" s="63">
        <v>0.0</v>
      </c>
      <c r="G148" s="64"/>
      <c r="H148" s="40"/>
      <c r="I148" s="40"/>
      <c r="J148" s="40"/>
      <c r="K148" s="40"/>
      <c r="L148" s="40"/>
      <c r="M148" s="40"/>
      <c r="N148" s="40"/>
      <c r="O148" s="40"/>
      <c r="P148" s="40"/>
      <c r="Q148" s="40"/>
      <c r="R148" s="40"/>
      <c r="S148" s="40"/>
      <c r="T148" s="40"/>
      <c r="U148" s="40"/>
      <c r="V148" s="40"/>
      <c r="W148" s="40"/>
      <c r="X148" s="40"/>
      <c r="Y148" s="40"/>
      <c r="Z148" s="40"/>
      <c r="AA148" s="40"/>
      <c r="AB148" s="40"/>
    </row>
    <row r="149">
      <c r="A149" s="51" t="s">
        <v>71</v>
      </c>
      <c r="B149" s="69"/>
      <c r="C149" s="69"/>
      <c r="D149" s="69"/>
      <c r="E149" s="69"/>
      <c r="F149" s="69"/>
      <c r="G149" s="64"/>
      <c r="H149" s="40"/>
      <c r="I149" s="40"/>
      <c r="J149" s="40"/>
      <c r="K149" s="40"/>
      <c r="L149" s="40"/>
      <c r="M149" s="40"/>
      <c r="N149" s="40"/>
      <c r="O149" s="40"/>
      <c r="P149" s="40"/>
      <c r="Q149" s="40"/>
      <c r="R149" s="40"/>
      <c r="S149" s="40"/>
      <c r="T149" s="40"/>
      <c r="U149" s="40"/>
      <c r="V149" s="40"/>
      <c r="W149" s="40"/>
      <c r="X149" s="40"/>
      <c r="Y149" s="40"/>
      <c r="Z149" s="40"/>
      <c r="AA149" s="40"/>
      <c r="AB149" s="40"/>
    </row>
    <row r="150">
      <c r="A150" s="51" t="s">
        <v>72</v>
      </c>
      <c r="B150" s="69"/>
      <c r="C150" s="69"/>
      <c r="D150" s="69"/>
      <c r="E150" s="69"/>
      <c r="F150" s="69"/>
      <c r="G150" s="64"/>
      <c r="H150" s="40"/>
      <c r="I150" s="40"/>
      <c r="J150" s="40"/>
      <c r="K150" s="40"/>
      <c r="L150" s="40"/>
      <c r="M150" s="40"/>
      <c r="N150" s="40"/>
      <c r="O150" s="40"/>
      <c r="P150" s="40"/>
      <c r="Q150" s="40"/>
      <c r="R150" s="40"/>
      <c r="S150" s="40"/>
      <c r="T150" s="40"/>
      <c r="U150" s="40"/>
      <c r="V150" s="40"/>
      <c r="W150" s="40"/>
      <c r="X150" s="40"/>
      <c r="Y150" s="40"/>
      <c r="Z150" s="40"/>
      <c r="AA150" s="40"/>
      <c r="AB150" s="40"/>
    </row>
    <row r="151">
      <c r="A151" s="51" t="s">
        <v>32</v>
      </c>
      <c r="B151" s="69"/>
      <c r="C151" s="69"/>
      <c r="D151" s="69"/>
      <c r="E151" s="69"/>
      <c r="F151" s="69"/>
      <c r="G151" s="64"/>
      <c r="H151" s="40"/>
      <c r="I151" s="40"/>
      <c r="J151" s="40"/>
      <c r="K151" s="40"/>
      <c r="L151" s="40"/>
      <c r="M151" s="40"/>
      <c r="N151" s="40"/>
      <c r="O151" s="40"/>
      <c r="P151" s="40"/>
      <c r="Q151" s="40"/>
      <c r="R151" s="40"/>
      <c r="S151" s="40"/>
      <c r="T151" s="40"/>
      <c r="U151" s="40"/>
      <c r="V151" s="40"/>
      <c r="W151" s="40"/>
      <c r="X151" s="40"/>
      <c r="Y151" s="40"/>
      <c r="Z151" s="40"/>
      <c r="AA151" s="40"/>
      <c r="AB151" s="40"/>
    </row>
    <row r="152">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row>
    <row r="153">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row>
    <row r="154">
      <c r="A154" s="97" t="s">
        <v>73</v>
      </c>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row>
    <row r="155">
      <c r="A155" s="7" t="s">
        <v>3</v>
      </c>
      <c r="B155" s="44" t="s">
        <v>54</v>
      </c>
      <c r="C155" s="44" t="s">
        <v>55</v>
      </c>
      <c r="D155" s="44" t="s">
        <v>56</v>
      </c>
      <c r="E155" s="44" t="s">
        <v>74</v>
      </c>
      <c r="F155" s="44" t="s">
        <v>75</v>
      </c>
      <c r="G155" s="44" t="s">
        <v>76</v>
      </c>
      <c r="H155" s="44" t="s">
        <v>43</v>
      </c>
      <c r="I155" s="40"/>
      <c r="J155" s="40"/>
      <c r="K155" s="40"/>
      <c r="L155" s="40"/>
      <c r="M155" s="40"/>
      <c r="N155" s="40"/>
      <c r="O155" s="40"/>
      <c r="P155" s="40"/>
      <c r="Q155" s="40"/>
      <c r="R155" s="40"/>
      <c r="S155" s="40"/>
      <c r="T155" s="40"/>
      <c r="U155" s="40"/>
      <c r="V155" s="40"/>
      <c r="W155" s="40"/>
      <c r="X155" s="40"/>
      <c r="Y155" s="40"/>
      <c r="Z155" s="40"/>
      <c r="AA155" s="40"/>
      <c r="AB155" s="40"/>
    </row>
    <row r="156">
      <c r="A156" s="51" t="s">
        <v>19</v>
      </c>
      <c r="B156" s="90">
        <f>G25</f>
        <v>944501</v>
      </c>
      <c r="C156" s="90">
        <f>G42</f>
        <v>698473</v>
      </c>
      <c r="D156" s="90">
        <f>G59</f>
        <v>1127041</v>
      </c>
      <c r="E156" s="90">
        <f>G76</f>
        <v>333495</v>
      </c>
      <c r="F156" s="90">
        <f>G106</f>
        <v>325000</v>
      </c>
      <c r="G156" s="90">
        <f>G123</f>
        <v>557670</v>
      </c>
      <c r="H156" s="90">
        <f>SUM(B156:G156)</f>
        <v>3986180</v>
      </c>
      <c r="I156" s="40"/>
      <c r="J156" s="40"/>
      <c r="K156" s="40"/>
      <c r="L156" s="40"/>
      <c r="M156" s="40"/>
      <c r="N156" s="40"/>
      <c r="O156" s="40"/>
      <c r="P156" s="40"/>
      <c r="Q156" s="40"/>
      <c r="R156" s="40"/>
      <c r="S156" s="40"/>
      <c r="T156" s="40"/>
      <c r="U156" s="40"/>
      <c r="V156" s="40"/>
      <c r="W156" s="40"/>
      <c r="X156" s="40"/>
      <c r="Y156" s="40"/>
      <c r="Z156" s="40"/>
      <c r="AA156" s="40"/>
      <c r="AB156" s="40"/>
    </row>
    <row r="157">
      <c r="A157" s="51" t="s">
        <v>77</v>
      </c>
      <c r="B157" s="74">
        <f t="shared" ref="B157:H157" si="113">B156/SUM($B$156:$G$156)</f>
        <v>0.2369438911</v>
      </c>
      <c r="C157" s="74">
        <f t="shared" si="113"/>
        <v>0.1752236477</v>
      </c>
      <c r="D157" s="74">
        <f t="shared" si="113"/>
        <v>0.2827371067</v>
      </c>
      <c r="E157" s="74">
        <f t="shared" si="113"/>
        <v>0.08366280499</v>
      </c>
      <c r="F157" s="74">
        <f t="shared" si="113"/>
        <v>0.081531692</v>
      </c>
      <c r="G157" s="74">
        <f t="shared" si="113"/>
        <v>0.1399008575</v>
      </c>
      <c r="H157" s="74">
        <f t="shared" si="113"/>
        <v>1</v>
      </c>
      <c r="I157" s="40"/>
      <c r="J157" s="40"/>
      <c r="K157" s="40"/>
      <c r="L157" s="40"/>
      <c r="M157" s="40"/>
      <c r="N157" s="40"/>
      <c r="O157" s="40"/>
      <c r="P157" s="40"/>
      <c r="Q157" s="40"/>
      <c r="R157" s="40"/>
      <c r="S157" s="40"/>
      <c r="T157" s="40"/>
      <c r="U157" s="40"/>
      <c r="V157" s="40"/>
      <c r="W157" s="40"/>
      <c r="X157" s="40"/>
      <c r="Y157" s="40"/>
      <c r="Z157" s="40"/>
      <c r="AA157" s="40"/>
      <c r="AB157" s="40"/>
    </row>
    <row r="158">
      <c r="A158" s="51" t="s">
        <v>21</v>
      </c>
      <c r="B158" s="69">
        <f t="shared" ref="B158:B159" si="114">G27</f>
        <v>113</v>
      </c>
      <c r="C158" s="69">
        <f t="shared" ref="C158:C159" si="115">G44</f>
        <v>164</v>
      </c>
      <c r="D158" s="69">
        <f t="shared" ref="D158:D159" si="116">G61</f>
        <v>176</v>
      </c>
      <c r="E158" s="69">
        <f t="shared" ref="E158:E159" si="117">G78</f>
        <v>50</v>
      </c>
      <c r="F158" s="69">
        <f t="shared" ref="F158:F159" si="118">G108</f>
        <v>51</v>
      </c>
      <c r="G158" s="69">
        <f t="shared" ref="G158:G159" si="119">G125</f>
        <v>0</v>
      </c>
      <c r="H158" s="69">
        <f>SUM(B158:G158)</f>
        <v>554</v>
      </c>
      <c r="I158" s="40"/>
      <c r="J158" s="40"/>
      <c r="K158" s="40"/>
      <c r="L158" s="40"/>
      <c r="M158" s="40"/>
      <c r="N158" s="40"/>
      <c r="O158" s="40"/>
      <c r="P158" s="40"/>
      <c r="Q158" s="40"/>
      <c r="R158" s="40"/>
      <c r="S158" s="40"/>
      <c r="T158" s="40"/>
      <c r="U158" s="40"/>
      <c r="V158" s="40"/>
      <c r="W158" s="40"/>
      <c r="X158" s="40"/>
      <c r="Y158" s="40"/>
      <c r="Z158" s="40"/>
      <c r="AA158" s="40"/>
      <c r="AB158" s="40"/>
    </row>
    <row r="159">
      <c r="A159" s="51" t="s">
        <v>22</v>
      </c>
      <c r="B159" s="90">
        <f t="shared" si="114"/>
        <v>8358.415929</v>
      </c>
      <c r="C159" s="90">
        <f t="shared" si="115"/>
        <v>4258.981707</v>
      </c>
      <c r="D159" s="90">
        <f t="shared" si="116"/>
        <v>6403.642045</v>
      </c>
      <c r="E159" s="90">
        <f t="shared" si="117"/>
        <v>6669.9</v>
      </c>
      <c r="F159" s="90">
        <f t="shared" si="118"/>
        <v>6372.54902</v>
      </c>
      <c r="G159" s="69" t="str">
        <f t="shared" si="119"/>
        <v>#DIV/0!</v>
      </c>
      <c r="H159" s="90">
        <f>H156/H158</f>
        <v>7195.270758</v>
      </c>
      <c r="I159" s="40"/>
      <c r="J159" s="40"/>
      <c r="K159" s="40"/>
      <c r="L159" s="40"/>
      <c r="M159" s="40"/>
      <c r="N159" s="40"/>
      <c r="O159" s="40"/>
      <c r="P159" s="40"/>
      <c r="Q159" s="40"/>
      <c r="R159" s="40"/>
      <c r="S159" s="40"/>
      <c r="T159" s="40"/>
      <c r="U159" s="40"/>
      <c r="V159" s="40"/>
      <c r="W159" s="40"/>
      <c r="X159" s="40"/>
      <c r="Y159" s="40"/>
      <c r="Z159" s="40"/>
      <c r="AA159" s="40"/>
      <c r="AB159" s="40"/>
    </row>
    <row r="160">
      <c r="A160" s="51" t="s">
        <v>24</v>
      </c>
      <c r="B160" s="69">
        <f t="shared" ref="B160:B161" si="120">G30</f>
        <v>14</v>
      </c>
      <c r="C160" s="69">
        <f t="shared" ref="C160:C161" si="121">G47</f>
        <v>13</v>
      </c>
      <c r="D160" s="69">
        <f t="shared" ref="D160:D161" si="122">G64</f>
        <v>16</v>
      </c>
      <c r="E160" s="69">
        <f t="shared" ref="E160:E161" si="123">G81</f>
        <v>7</v>
      </c>
      <c r="F160" s="69">
        <f t="shared" ref="F160:F161" si="124">G111</f>
        <v>4</v>
      </c>
      <c r="G160" s="69">
        <f t="shared" ref="G160:G161" si="125">G128</f>
        <v>0</v>
      </c>
      <c r="H160" s="69">
        <f>SUM(B160:G160)</f>
        <v>54</v>
      </c>
      <c r="I160" s="40"/>
      <c r="J160" s="40"/>
      <c r="K160" s="40"/>
      <c r="L160" s="40"/>
      <c r="M160" s="40"/>
      <c r="N160" s="40"/>
      <c r="O160" s="40"/>
      <c r="P160" s="40"/>
      <c r="Q160" s="40"/>
      <c r="R160" s="40"/>
      <c r="S160" s="40"/>
      <c r="T160" s="40"/>
      <c r="U160" s="40"/>
      <c r="V160" s="40"/>
      <c r="W160" s="40"/>
      <c r="X160" s="40"/>
      <c r="Y160" s="40"/>
      <c r="Z160" s="40"/>
      <c r="AA160" s="40"/>
      <c r="AB160" s="40"/>
    </row>
    <row r="161">
      <c r="A161" s="51" t="s">
        <v>25</v>
      </c>
      <c r="B161" s="90">
        <f t="shared" si="120"/>
        <v>67464.35714</v>
      </c>
      <c r="C161" s="90">
        <f t="shared" si="121"/>
        <v>53728.69231</v>
      </c>
      <c r="D161" s="90">
        <f t="shared" si="122"/>
        <v>70440.0625</v>
      </c>
      <c r="E161" s="90">
        <f t="shared" si="123"/>
        <v>47642.14286</v>
      </c>
      <c r="F161" s="90">
        <f t="shared" si="124"/>
        <v>81250</v>
      </c>
      <c r="G161" s="69" t="str">
        <f t="shared" si="125"/>
        <v>#DIV/0!</v>
      </c>
      <c r="H161" s="90">
        <f>H156/H160</f>
        <v>73818.14815</v>
      </c>
      <c r="I161" s="40"/>
      <c r="J161" s="40"/>
      <c r="K161" s="40"/>
      <c r="L161" s="40"/>
      <c r="M161" s="40"/>
      <c r="N161" s="40"/>
      <c r="O161" s="40"/>
      <c r="P161" s="40"/>
      <c r="Q161" s="40"/>
      <c r="R161" s="40"/>
      <c r="S161" s="40"/>
      <c r="T161" s="40"/>
      <c r="U161" s="40"/>
      <c r="V161" s="40"/>
      <c r="W161" s="40"/>
      <c r="X161" s="40"/>
      <c r="Y161" s="40"/>
      <c r="Z161" s="40"/>
      <c r="AA161" s="40"/>
      <c r="AB161" s="40"/>
    </row>
    <row r="162">
      <c r="A162" s="51" t="s">
        <v>27</v>
      </c>
      <c r="B162" s="74">
        <f>G33</f>
        <v>0.1238938053</v>
      </c>
      <c r="C162" s="74">
        <f t="shared" ref="C162:C163" si="127">G50</f>
        <v>0.07926829268</v>
      </c>
      <c r="D162" s="74">
        <f t="shared" ref="D162:D163" si="128">G67</f>
        <v>0.09090909091</v>
      </c>
      <c r="E162" s="74">
        <f t="shared" ref="E162:E164" si="129">G84</f>
        <v>0.14</v>
      </c>
      <c r="F162" s="74">
        <f t="shared" ref="F162:F164" si="130">G114</f>
        <v>0.07843137255</v>
      </c>
      <c r="G162" s="74" t="str">
        <f t="shared" ref="G162:H162" si="126">G131</f>
        <v>#DIV/0!</v>
      </c>
      <c r="H162" s="74">
        <f t="shared" si="126"/>
        <v>0.06</v>
      </c>
      <c r="I162" s="40"/>
      <c r="J162" s="40"/>
      <c r="K162" s="40"/>
      <c r="L162" s="40"/>
      <c r="M162" s="40"/>
      <c r="N162" s="40"/>
      <c r="O162" s="40"/>
      <c r="P162" s="40"/>
      <c r="Q162" s="40"/>
      <c r="R162" s="40"/>
      <c r="S162" s="40"/>
      <c r="T162" s="40"/>
      <c r="U162" s="40"/>
      <c r="V162" s="40"/>
      <c r="W162" s="40"/>
      <c r="X162" s="40"/>
      <c r="Y162" s="40"/>
      <c r="Z162" s="40"/>
      <c r="AA162" s="40"/>
      <c r="AB162" s="40"/>
    </row>
    <row r="163">
      <c r="A163" s="51" t="s">
        <v>28</v>
      </c>
      <c r="B163" s="69"/>
      <c r="C163" s="69">
        <f t="shared" si="127"/>
        <v>0</v>
      </c>
      <c r="D163" s="69">
        <f t="shared" si="128"/>
        <v>0</v>
      </c>
      <c r="E163" s="69">
        <f t="shared" si="129"/>
        <v>0</v>
      </c>
      <c r="F163" s="69">
        <f t="shared" si="130"/>
        <v>0</v>
      </c>
      <c r="G163" s="69">
        <f t="shared" ref="G163:H163" si="131">G132</f>
        <v>0</v>
      </c>
      <c r="H163" s="69" t="str">
        <f t="shared" si="131"/>
        <v/>
      </c>
      <c r="I163" s="40"/>
      <c r="J163" s="40"/>
      <c r="K163" s="40"/>
      <c r="L163" s="40"/>
      <c r="M163" s="40"/>
      <c r="N163" s="40"/>
      <c r="O163" s="40"/>
      <c r="P163" s="40"/>
      <c r="Q163" s="40"/>
      <c r="R163" s="40"/>
      <c r="S163" s="40"/>
      <c r="T163" s="40"/>
      <c r="U163" s="40"/>
      <c r="V163" s="40"/>
      <c r="W163" s="40"/>
      <c r="X163" s="40"/>
      <c r="Y163" s="40"/>
      <c r="Z163" s="40"/>
      <c r="AA163" s="40"/>
      <c r="AB163" s="40"/>
    </row>
    <row r="164">
      <c r="A164" s="51" t="s">
        <v>29</v>
      </c>
      <c r="B164" s="69" t="str">
        <f>G35</f>
        <v/>
      </c>
      <c r="C164" s="69"/>
      <c r="D164" s="69"/>
      <c r="E164" s="69" t="str">
        <f t="shared" si="129"/>
        <v/>
      </c>
      <c r="F164" s="69" t="str">
        <f t="shared" si="130"/>
        <v/>
      </c>
      <c r="G164" s="69" t="str">
        <f t="shared" ref="G164:H164" si="132">G133</f>
        <v/>
      </c>
      <c r="H164" s="69" t="str">
        <f t="shared" si="132"/>
        <v/>
      </c>
      <c r="I164" s="40"/>
      <c r="J164" s="40"/>
      <c r="K164" s="40"/>
      <c r="L164" s="40"/>
      <c r="M164" s="40"/>
      <c r="N164" s="40"/>
      <c r="O164" s="40"/>
      <c r="P164" s="40"/>
      <c r="Q164" s="40"/>
      <c r="R164" s="40"/>
      <c r="S164" s="40"/>
      <c r="T164" s="40"/>
      <c r="U164" s="40"/>
      <c r="V164" s="40"/>
      <c r="W164" s="40"/>
      <c r="X164" s="40"/>
      <c r="Y164" s="40"/>
      <c r="Z164" s="40"/>
      <c r="AA164" s="40"/>
      <c r="AB164" s="40"/>
    </row>
    <row r="165">
      <c r="A165" s="51" t="s">
        <v>32</v>
      </c>
      <c r="B165" s="69" t="str">
        <f>G37</f>
        <v/>
      </c>
      <c r="C165" s="69"/>
      <c r="D165" s="69"/>
      <c r="E165" s="69" t="str">
        <f>G88</f>
        <v/>
      </c>
      <c r="F165" s="69" t="str">
        <f>G118</f>
        <v/>
      </c>
      <c r="G165" s="69" t="str">
        <f t="shared" ref="G165:H165" si="133">G135</f>
        <v/>
      </c>
      <c r="H165" s="69" t="str">
        <f t="shared" si="133"/>
        <v/>
      </c>
      <c r="I165" s="40"/>
      <c r="J165" s="40"/>
      <c r="K165" s="40"/>
      <c r="L165" s="40"/>
      <c r="M165" s="40"/>
      <c r="N165" s="40"/>
      <c r="O165" s="40"/>
      <c r="P165" s="40"/>
      <c r="Q165" s="40"/>
      <c r="R165" s="40"/>
      <c r="S165" s="40"/>
      <c r="T165" s="40"/>
      <c r="U165" s="40"/>
      <c r="V165" s="40"/>
      <c r="W165" s="40"/>
      <c r="X165" s="40"/>
      <c r="Y165" s="40"/>
      <c r="Z165" s="40"/>
      <c r="AA165" s="40"/>
      <c r="AB165" s="40"/>
    </row>
    <row r="166">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row>
    <row r="167">
      <c r="A167" s="100" t="s">
        <v>78</v>
      </c>
      <c r="B167" s="101" t="s">
        <v>54</v>
      </c>
      <c r="C167" s="101" t="s">
        <v>55</v>
      </c>
      <c r="D167" s="101" t="s">
        <v>56</v>
      </c>
      <c r="E167" s="101" t="s">
        <v>74</v>
      </c>
      <c r="F167" s="102" t="s">
        <v>59</v>
      </c>
      <c r="G167" s="101" t="s">
        <v>76</v>
      </c>
      <c r="H167" s="101" t="s">
        <v>1</v>
      </c>
      <c r="I167" s="40"/>
      <c r="J167" s="40"/>
      <c r="K167" s="40"/>
      <c r="L167" s="40"/>
      <c r="M167" s="40"/>
      <c r="N167" s="40"/>
      <c r="O167" s="40"/>
      <c r="P167" s="40"/>
      <c r="Q167" s="40"/>
      <c r="R167" s="40"/>
      <c r="S167" s="40"/>
      <c r="T167" s="40"/>
      <c r="U167" s="40"/>
      <c r="V167" s="40"/>
      <c r="W167" s="40"/>
      <c r="X167" s="40"/>
      <c r="Y167" s="40"/>
      <c r="Z167" s="40"/>
      <c r="AA167" s="40"/>
      <c r="AB167" s="40"/>
    </row>
    <row r="168">
      <c r="A168" s="103" t="s">
        <v>79</v>
      </c>
      <c r="B168" s="104">
        <v>70000.0</v>
      </c>
      <c r="C168" s="104">
        <v>70000.0</v>
      </c>
      <c r="D168" s="104">
        <v>75000.0</v>
      </c>
      <c r="E168" s="104">
        <v>45000.0</v>
      </c>
      <c r="F168" s="104">
        <v>15000.0</v>
      </c>
      <c r="G168" s="104">
        <v>20000.0</v>
      </c>
      <c r="H168" s="105">
        <f t="shared" ref="H168:H169" si="135">SUM(B168:G168)</f>
        <v>295000</v>
      </c>
      <c r="I168" s="40"/>
      <c r="J168" s="40"/>
      <c r="K168" s="40"/>
      <c r="L168" s="40"/>
      <c r="M168" s="40"/>
      <c r="N168" s="40"/>
      <c r="O168" s="40"/>
      <c r="P168" s="40"/>
      <c r="Q168" s="40"/>
      <c r="R168" s="40"/>
      <c r="S168" s="40"/>
      <c r="T168" s="40"/>
      <c r="U168" s="40"/>
      <c r="V168" s="40"/>
      <c r="W168" s="40"/>
      <c r="X168" s="40"/>
      <c r="Y168" s="40"/>
      <c r="Z168" s="40"/>
      <c r="AA168" s="40"/>
      <c r="AB168" s="40"/>
    </row>
    <row r="169">
      <c r="A169" s="103" t="s">
        <v>19</v>
      </c>
      <c r="B169" s="106">
        <f t="shared" ref="B169:G169" si="134">B168*30</f>
        <v>2100000</v>
      </c>
      <c r="C169" s="106">
        <f t="shared" si="134"/>
        <v>2100000</v>
      </c>
      <c r="D169" s="106">
        <f t="shared" si="134"/>
        <v>2250000</v>
      </c>
      <c r="E169" s="106">
        <f t="shared" si="134"/>
        <v>1350000</v>
      </c>
      <c r="F169" s="106">
        <f t="shared" si="134"/>
        <v>450000</v>
      </c>
      <c r="G169" s="106">
        <f t="shared" si="134"/>
        <v>600000</v>
      </c>
      <c r="H169" s="105">
        <f t="shared" si="135"/>
        <v>8850000</v>
      </c>
      <c r="I169" s="40"/>
      <c r="J169" s="40"/>
      <c r="K169" s="40"/>
      <c r="L169" s="40"/>
      <c r="M169" s="40"/>
      <c r="N169" s="40"/>
      <c r="O169" s="40"/>
      <c r="P169" s="40"/>
      <c r="Q169" s="40"/>
      <c r="R169" s="40"/>
      <c r="S169" s="40"/>
      <c r="T169" s="40"/>
      <c r="U169" s="40"/>
      <c r="V169" s="40"/>
      <c r="W169" s="40"/>
      <c r="X169" s="40"/>
      <c r="Y169" s="40"/>
      <c r="Z169" s="40"/>
      <c r="AA169" s="40"/>
      <c r="AB169" s="40"/>
    </row>
    <row r="170">
      <c r="A170" s="103" t="s">
        <v>80</v>
      </c>
      <c r="B170" s="107">
        <f t="shared" ref="B170:H170" si="136">B169/$H$169</f>
        <v>0.2372881356</v>
      </c>
      <c r="C170" s="107">
        <f t="shared" si="136"/>
        <v>0.2372881356</v>
      </c>
      <c r="D170" s="107">
        <f t="shared" si="136"/>
        <v>0.2542372881</v>
      </c>
      <c r="E170" s="107">
        <f t="shared" si="136"/>
        <v>0.1525423729</v>
      </c>
      <c r="F170" s="107">
        <f t="shared" si="136"/>
        <v>0.05084745763</v>
      </c>
      <c r="G170" s="107">
        <f t="shared" si="136"/>
        <v>0.06779661017</v>
      </c>
      <c r="H170" s="108">
        <f t="shared" si="136"/>
        <v>1</v>
      </c>
      <c r="I170" s="40"/>
      <c r="J170" s="40"/>
      <c r="K170" s="40"/>
      <c r="L170" s="40"/>
      <c r="M170" s="40"/>
      <c r="N170" s="40"/>
      <c r="O170" s="40"/>
      <c r="P170" s="40"/>
      <c r="Q170" s="40"/>
      <c r="R170" s="40"/>
      <c r="S170" s="40"/>
      <c r="T170" s="40"/>
      <c r="U170" s="40"/>
      <c r="V170" s="40"/>
      <c r="W170" s="40"/>
      <c r="X170" s="40"/>
      <c r="Y170" s="40"/>
      <c r="Z170" s="40"/>
      <c r="AA170" s="40"/>
      <c r="AB170" s="40"/>
    </row>
    <row r="171">
      <c r="A171" s="103" t="s">
        <v>22</v>
      </c>
      <c r="B171" s="104">
        <v>5500.0</v>
      </c>
      <c r="C171" s="104">
        <v>4500.0</v>
      </c>
      <c r="D171" s="104">
        <v>4500.0</v>
      </c>
      <c r="E171" s="104">
        <v>3000.0</v>
      </c>
      <c r="F171" s="104">
        <v>3000.0</v>
      </c>
      <c r="G171" s="104">
        <v>10000.0</v>
      </c>
      <c r="H171" s="109">
        <f>H169/H172</f>
        <v>4406.306578</v>
      </c>
      <c r="I171" s="40"/>
      <c r="J171" s="40"/>
      <c r="K171" s="40"/>
      <c r="L171" s="40"/>
      <c r="M171" s="40"/>
      <c r="N171" s="40"/>
      <c r="O171" s="40"/>
      <c r="P171" s="40"/>
      <c r="Q171" s="40"/>
      <c r="R171" s="40"/>
      <c r="S171" s="40"/>
      <c r="T171" s="40"/>
      <c r="U171" s="40"/>
      <c r="V171" s="40"/>
      <c r="W171" s="40"/>
      <c r="X171" s="40"/>
      <c r="Y171" s="40"/>
      <c r="Z171" s="40"/>
      <c r="AA171" s="40"/>
      <c r="AB171" s="40"/>
    </row>
    <row r="172">
      <c r="A172" s="103" t="s">
        <v>21</v>
      </c>
      <c r="B172" s="110">
        <f t="shared" ref="B172:E172" si="137">B169/B171</f>
        <v>381.8181818</v>
      </c>
      <c r="C172" s="110">
        <f t="shared" si="137"/>
        <v>466.6666667</v>
      </c>
      <c r="D172" s="110">
        <f t="shared" si="137"/>
        <v>500</v>
      </c>
      <c r="E172" s="110">
        <f t="shared" si="137"/>
        <v>450</v>
      </c>
      <c r="F172" s="111">
        <v>150.0</v>
      </c>
      <c r="G172" s="110">
        <f>G169/G171</f>
        <v>60</v>
      </c>
      <c r="H172" s="112">
        <f>SUM(B172:G172)</f>
        <v>2008.484848</v>
      </c>
      <c r="I172" s="40"/>
      <c r="J172" s="40"/>
      <c r="K172" s="40"/>
      <c r="L172" s="40"/>
      <c r="M172" s="40"/>
      <c r="N172" s="40"/>
      <c r="O172" s="40"/>
      <c r="P172" s="40"/>
      <c r="Q172" s="40"/>
      <c r="R172" s="40"/>
      <c r="S172" s="40"/>
      <c r="T172" s="40"/>
      <c r="U172" s="40"/>
      <c r="V172" s="40"/>
      <c r="W172" s="40"/>
      <c r="X172" s="40"/>
      <c r="Y172" s="40"/>
      <c r="Z172" s="40"/>
      <c r="AA172" s="40"/>
      <c r="AB172" s="40"/>
    </row>
    <row r="173">
      <c r="A173" s="103" t="s">
        <v>27</v>
      </c>
      <c r="B173" s="113">
        <v>0.1</v>
      </c>
      <c r="C173" s="113">
        <v>0.05</v>
      </c>
      <c r="D173" s="114">
        <v>0.08</v>
      </c>
      <c r="E173" s="114">
        <v>0.08</v>
      </c>
      <c r="F173" s="113">
        <v>0.06</v>
      </c>
      <c r="G173" s="113">
        <v>0.06</v>
      </c>
      <c r="H173" s="108">
        <f>H174/H172</f>
        <v>0.07474049487</v>
      </c>
      <c r="I173" s="40"/>
      <c r="J173" s="40"/>
      <c r="K173" s="40"/>
      <c r="L173" s="40"/>
      <c r="M173" s="40"/>
      <c r="N173" s="40"/>
      <c r="O173" s="40"/>
      <c r="P173" s="40"/>
      <c r="Q173" s="40"/>
      <c r="R173" s="40"/>
      <c r="S173" s="40"/>
      <c r="T173" s="40"/>
      <c r="U173" s="40"/>
      <c r="V173" s="40"/>
      <c r="W173" s="40"/>
      <c r="X173" s="40"/>
      <c r="Y173" s="40"/>
      <c r="Z173" s="40"/>
      <c r="AA173" s="40"/>
      <c r="AB173" s="40"/>
    </row>
    <row r="174">
      <c r="A174" s="103" t="s">
        <v>24</v>
      </c>
      <c r="B174" s="110">
        <f t="shared" ref="B174:G174" si="138">B172*B173</f>
        <v>38.18181818</v>
      </c>
      <c r="C174" s="110">
        <f t="shared" si="138"/>
        <v>23.33333333</v>
      </c>
      <c r="D174" s="110">
        <f t="shared" si="138"/>
        <v>40</v>
      </c>
      <c r="E174" s="110">
        <f t="shared" si="138"/>
        <v>36</v>
      </c>
      <c r="F174" s="110">
        <f t="shared" si="138"/>
        <v>9</v>
      </c>
      <c r="G174" s="110">
        <f t="shared" si="138"/>
        <v>3.6</v>
      </c>
      <c r="H174" s="112">
        <f>SUM(B174:G174)</f>
        <v>150.1151515</v>
      </c>
      <c r="I174" s="40"/>
      <c r="J174" s="40"/>
      <c r="K174" s="40"/>
      <c r="L174" s="40"/>
      <c r="M174" s="40"/>
      <c r="N174" s="40"/>
      <c r="O174" s="40"/>
      <c r="P174" s="40"/>
      <c r="Q174" s="40"/>
      <c r="R174" s="40"/>
      <c r="S174" s="40"/>
      <c r="T174" s="40"/>
      <c r="U174" s="40"/>
      <c r="V174" s="40"/>
      <c r="W174" s="40"/>
      <c r="X174" s="40"/>
      <c r="Y174" s="40"/>
      <c r="Z174" s="40"/>
      <c r="AA174" s="40"/>
      <c r="AB174" s="40"/>
    </row>
    <row r="175">
      <c r="A175" s="103" t="s">
        <v>25</v>
      </c>
      <c r="B175" s="106">
        <f t="shared" ref="B175:E175" si="139">B169/B174</f>
        <v>55000</v>
      </c>
      <c r="C175" s="106">
        <f t="shared" si="139"/>
        <v>90000</v>
      </c>
      <c r="D175" s="106">
        <f t="shared" si="139"/>
        <v>56250</v>
      </c>
      <c r="E175" s="106">
        <f t="shared" si="139"/>
        <v>37500</v>
      </c>
      <c r="F175" s="106">
        <v>0.0</v>
      </c>
      <c r="G175" s="106">
        <f t="shared" ref="G175:H175" si="140">G169/G174</f>
        <v>166666.6667</v>
      </c>
      <c r="H175" s="105">
        <f t="shared" si="140"/>
        <v>58954.74181</v>
      </c>
      <c r="I175" s="40"/>
      <c r="J175" s="40"/>
      <c r="K175" s="40"/>
      <c r="L175" s="40"/>
      <c r="M175" s="40"/>
      <c r="N175" s="40"/>
      <c r="O175" s="40"/>
      <c r="P175" s="40"/>
      <c r="Q175" s="40"/>
      <c r="R175" s="40"/>
      <c r="S175" s="40"/>
      <c r="T175" s="40"/>
      <c r="U175" s="40"/>
      <c r="V175" s="40"/>
      <c r="W175" s="40"/>
      <c r="X175" s="40"/>
      <c r="Y175" s="40"/>
      <c r="Z175" s="40"/>
      <c r="AA175" s="40"/>
      <c r="AB175" s="40"/>
    </row>
    <row r="176">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row>
    <row r="177">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row>
    <row r="178">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row>
    <row r="179">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row>
    <row r="180">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row>
    <row r="18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row>
    <row r="182">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row>
    <row r="183">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row>
    <row r="184">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row>
    <row r="18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row>
    <row r="186">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row>
    <row r="187">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row>
    <row r="188">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row>
    <row r="189">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row>
    <row r="190">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row>
    <row r="19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row>
    <row r="192">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row>
    <row r="193">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row>
    <row r="194">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row>
    <row r="19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row>
    <row r="196">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row>
    <row r="197">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row>
    <row r="198">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row>
    <row r="199">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row>
    <row r="200">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row>
    <row r="20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row>
    <row r="202">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row>
    <row r="203">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row>
    <row r="204">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row>
    <row r="20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row>
    <row r="206">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row>
    <row r="207">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row>
    <row r="208">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row>
    <row r="209">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row>
    <row r="210">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row>
    <row r="21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row>
    <row r="212">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row>
    <row r="213">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row>
    <row r="214">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row>
    <row r="21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row>
    <row r="216">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row>
    <row r="217">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row>
    <row r="218">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row>
    <row r="219">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row>
    <row r="220">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row>
    <row r="22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row>
    <row r="222">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row>
    <row r="223">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row>
    <row r="224">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row>
    <row r="22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row>
    <row r="226">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row>
    <row r="227">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row>
    <row r="228">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row>
    <row r="229">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row>
    <row r="230">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row>
    <row r="23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row>
    <row r="232">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row>
    <row r="233">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row>
    <row r="234">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row>
    <row r="23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row>
    <row r="236">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row>
    <row r="237">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row>
    <row r="238">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row>
    <row r="239">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row>
    <row r="240">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row>
    <row r="24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row>
    <row r="242">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row>
    <row r="243">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row>
    <row r="244">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row>
    <row r="24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row>
    <row r="246">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row>
    <row r="247">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row>
    <row r="248">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row>
    <row r="249">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row>
    <row r="250">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row>
    <row r="25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row>
    <row r="252">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row>
    <row r="253">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row>
    <row r="254">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row>
    <row r="2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row>
    <row r="256">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row>
    <row r="257">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row>
    <row r="258">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row>
    <row r="259">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row>
    <row r="260">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row>
    <row r="261">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row>
    <row r="262">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row>
    <row r="263">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row>
    <row r="264">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row>
    <row r="26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row>
    <row r="266">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row>
    <row r="267">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row>
    <row r="268">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row>
    <row r="269">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row>
    <row r="270">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row>
    <row r="271">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row>
    <row r="272">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row>
    <row r="273">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row>
    <row r="274">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row>
    <row r="27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row>
    <row r="276">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row>
    <row r="277">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row>
    <row r="278">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row>
    <row r="279">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row>
    <row r="280">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row>
    <row r="281">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row>
    <row r="282">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row>
    <row r="283">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row>
    <row r="284">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row>
    <row r="28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row>
    <row r="286">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row>
    <row r="287">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row>
    <row r="288">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row>
    <row r="289">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row>
    <row r="290">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row>
    <row r="291">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row>
    <row r="292">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row>
    <row r="293">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row>
    <row r="294">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row>
    <row r="29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row>
    <row r="296">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row>
    <row r="297">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row>
    <row r="298">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row>
    <row r="299">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row>
    <row r="300">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row>
    <row r="301">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row>
    <row r="302">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row>
    <row r="303">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row>
    <row r="304">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row>
    <row r="30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row>
    <row r="306">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row>
    <row r="307">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row>
    <row r="308">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row>
    <row r="309">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row>
    <row r="310">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row>
    <row r="311">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row>
    <row r="312">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row>
    <row r="313">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row>
    <row r="314">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row>
    <row r="31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row>
    <row r="316">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row>
    <row r="317">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row>
    <row r="318">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row>
    <row r="319">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row>
    <row r="320">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row>
    <row r="321">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row>
    <row r="322">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row>
    <row r="323">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row>
    <row r="324">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row>
    <row r="32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row>
    <row r="326">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row>
    <row r="327">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row>
    <row r="328">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row>
    <row r="329">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row>
    <row r="330">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row>
    <row r="331">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row>
    <row r="332">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row>
    <row r="333">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row>
    <row r="334">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row>
    <row r="33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row>
    <row r="336">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row>
    <row r="337">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row>
    <row r="338">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row>
    <row r="339">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row>
    <row r="340">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row>
    <row r="341">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row>
    <row r="342">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row>
    <row r="343">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row>
    <row r="344">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row>
    <row r="34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row>
    <row r="346">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row>
    <row r="347">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row>
    <row r="348">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row>
    <row r="349">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row>
    <row r="350">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row>
    <row r="351">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row>
    <row r="352">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row>
    <row r="353">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row>
    <row r="354">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row>
    <row r="3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row>
    <row r="356">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row>
    <row r="357">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row>
    <row r="358">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row>
    <row r="359">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row>
    <row r="360">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row>
    <row r="361">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row>
    <row r="362">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row>
    <row r="363">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row>
    <row r="364">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row>
    <row r="36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row>
    <row r="366">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row>
    <row r="367">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row>
    <row r="368">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row>
    <row r="369">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row>
    <row r="370">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row>
    <row r="371">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row>
    <row r="372">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row>
    <row r="373">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row>
    <row r="374">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row>
    <row r="37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row>
    <row r="376">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row>
    <row r="377">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row>
    <row r="378">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row>
    <row r="379">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row>
    <row r="380">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row>
    <row r="381">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row>
    <row r="382">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row>
    <row r="383">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row>
    <row r="384">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row>
    <row r="38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row>
    <row r="386">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row>
    <row r="387">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row>
    <row r="388">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row>
    <row r="389">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row>
    <row r="390">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row>
    <row r="391">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row>
    <row r="392">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row>
    <row r="393">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row>
    <row r="394">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row>
    <row r="39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row>
    <row r="396">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row>
    <row r="397">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row>
    <row r="398">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row>
    <row r="399">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row>
    <row r="400">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row>
    <row r="401">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row>
    <row r="402">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row>
    <row r="403">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row>
    <row r="404">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row>
    <row r="40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row>
    <row r="406">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row>
    <row r="407">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row>
    <row r="408">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row>
    <row r="409">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row>
    <row r="410">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row>
    <row r="411">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row>
    <row r="412">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row>
    <row r="413">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row>
    <row r="414">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row>
    <row r="41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row>
    <row r="416">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row>
    <row r="417">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row>
    <row r="418">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row>
    <row r="419">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row>
    <row r="420">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row>
    <row r="421">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row>
    <row r="422">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row>
    <row r="423">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row>
    <row r="424">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row>
    <row r="42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row>
    <row r="426">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row>
    <row r="427">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row>
    <row r="428">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row>
    <row r="429">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row>
    <row r="430">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row>
    <row r="431">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row>
    <row r="432">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row>
    <row r="433">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row>
    <row r="434">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row>
    <row r="43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row>
    <row r="436">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row>
    <row r="437">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row>
    <row r="438">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row>
    <row r="439">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row>
    <row r="440">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row>
    <row r="441">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row>
    <row r="442">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row>
    <row r="443">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row>
    <row r="444">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row>
    <row r="44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row>
    <row r="446">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row>
    <row r="447">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row>
    <row r="448">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row>
    <row r="449">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row>
    <row r="450">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row>
    <row r="451">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row>
    <row r="452">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row>
    <row r="453">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row>
    <row r="454">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row>
    <row r="4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row>
    <row r="456">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row>
    <row r="457">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row>
    <row r="458">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row>
    <row r="459">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row>
    <row r="460">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row>
    <row r="461">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row>
    <row r="462">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row>
    <row r="463">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row>
    <row r="464">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row>
    <row r="46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row>
    <row r="466">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row>
    <row r="467">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row>
    <row r="468">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row>
    <row r="469">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row>
    <row r="470">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row>
    <row r="471">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row>
    <row r="472">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row>
    <row r="473">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row>
    <row r="474">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row>
    <row r="47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row>
    <row r="476">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row>
    <row r="477">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row>
    <row r="478">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row>
    <row r="479">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row>
    <row r="480">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row>
    <row r="481">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c r="AA481" s="40"/>
      <c r="AB481" s="40"/>
    </row>
    <row r="482">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c r="AA482" s="40"/>
      <c r="AB482" s="40"/>
    </row>
    <row r="483">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c r="AA483" s="40"/>
      <c r="AB483" s="40"/>
    </row>
    <row r="484">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c r="AA484" s="40"/>
      <c r="AB484" s="40"/>
    </row>
    <row r="485">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c r="AA485" s="40"/>
      <c r="AB485" s="40"/>
    </row>
    <row r="486">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c r="AA486" s="40"/>
      <c r="AB486" s="40"/>
    </row>
    <row r="487">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c r="AA487" s="40"/>
      <c r="AB487" s="40"/>
    </row>
    <row r="488">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c r="AA488" s="40"/>
      <c r="AB488" s="40"/>
    </row>
    <row r="489">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c r="AA489" s="40"/>
      <c r="AB489" s="40"/>
    </row>
    <row r="490">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c r="AA490" s="40"/>
      <c r="AB490" s="40"/>
    </row>
    <row r="491">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c r="AA491" s="40"/>
      <c r="AB491" s="40"/>
    </row>
    <row r="492">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c r="AA492" s="40"/>
      <c r="AB492" s="40"/>
    </row>
    <row r="493">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c r="AA493" s="40"/>
      <c r="AB493" s="40"/>
    </row>
    <row r="494">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c r="AA494" s="40"/>
      <c r="AB494" s="40"/>
    </row>
    <row r="495">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c r="AA495" s="40"/>
      <c r="AB495" s="40"/>
    </row>
    <row r="496">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c r="AA496" s="40"/>
      <c r="AB496" s="40"/>
    </row>
    <row r="497">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c r="AA497" s="40"/>
      <c r="AB497" s="40"/>
    </row>
    <row r="498">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c r="AA498" s="40"/>
      <c r="AB498" s="40"/>
    </row>
    <row r="499">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c r="AA499" s="40"/>
      <c r="AB499" s="40"/>
    </row>
    <row r="500">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c r="AA500" s="40"/>
      <c r="AB500" s="40"/>
    </row>
    <row r="501">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c r="AA501" s="40"/>
      <c r="AB501" s="40"/>
    </row>
    <row r="502">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c r="AA502" s="40"/>
      <c r="AB502" s="40"/>
    </row>
    <row r="503">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c r="AA503" s="40"/>
      <c r="AB503" s="40"/>
    </row>
    <row r="504">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c r="AA504" s="40"/>
      <c r="AB504" s="40"/>
    </row>
    <row r="505">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c r="AA505" s="40"/>
      <c r="AB505" s="40"/>
    </row>
    <row r="506">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c r="AA506" s="40"/>
      <c r="AB506" s="40"/>
    </row>
    <row r="507">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c r="AA507" s="40"/>
      <c r="AB507" s="40"/>
    </row>
    <row r="508">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c r="AA508" s="40"/>
      <c r="AB508" s="40"/>
    </row>
    <row r="509">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c r="AA509" s="40"/>
      <c r="AB509" s="40"/>
    </row>
    <row r="510">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c r="AA510" s="40"/>
      <c r="AB510" s="40"/>
    </row>
    <row r="511">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c r="AA511" s="40"/>
      <c r="AB511" s="40"/>
    </row>
    <row r="512">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c r="AA512" s="40"/>
      <c r="AB512" s="40"/>
    </row>
    <row r="513">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c r="AA513" s="40"/>
      <c r="AB513" s="40"/>
    </row>
    <row r="514">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c r="AA514" s="40"/>
      <c r="AB514" s="40"/>
    </row>
    <row r="515">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c r="AA515" s="40"/>
      <c r="AB515" s="40"/>
    </row>
    <row r="516">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c r="AA516" s="40"/>
      <c r="AB516" s="40"/>
    </row>
    <row r="517">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c r="AA517" s="40"/>
      <c r="AB517" s="40"/>
    </row>
    <row r="518">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c r="AA518" s="40"/>
      <c r="AB518" s="40"/>
    </row>
    <row r="519">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c r="AA519" s="40"/>
      <c r="AB519" s="40"/>
    </row>
    <row r="520">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c r="AA520" s="40"/>
      <c r="AB520" s="40"/>
    </row>
    <row r="521">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c r="AA521" s="40"/>
      <c r="AB521" s="40"/>
    </row>
    <row r="522">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c r="AA522" s="40"/>
      <c r="AB522" s="40"/>
    </row>
    <row r="523">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c r="AA523" s="40"/>
      <c r="AB523" s="40"/>
    </row>
    <row r="524">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c r="AA524" s="40"/>
      <c r="AB524" s="40"/>
    </row>
    <row r="525">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c r="AA525" s="40"/>
      <c r="AB525" s="40"/>
    </row>
    <row r="526">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c r="AA526" s="40"/>
      <c r="AB526" s="40"/>
    </row>
    <row r="527">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c r="AA527" s="40"/>
      <c r="AB527" s="40"/>
    </row>
    <row r="528">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c r="AA528" s="40"/>
      <c r="AB528" s="40"/>
    </row>
    <row r="529">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c r="AA529" s="40"/>
      <c r="AB529" s="40"/>
    </row>
    <row r="530">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c r="AA530" s="40"/>
      <c r="AB530" s="40"/>
    </row>
    <row r="531">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c r="AA531" s="40"/>
      <c r="AB531" s="40"/>
    </row>
    <row r="532">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c r="AA532" s="40"/>
      <c r="AB532" s="40"/>
    </row>
    <row r="533">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c r="AA533" s="40"/>
      <c r="AB533" s="40"/>
    </row>
    <row r="534">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c r="AA534" s="40"/>
      <c r="AB534" s="40"/>
    </row>
    <row r="535">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c r="AA535" s="40"/>
      <c r="AB535" s="40"/>
    </row>
    <row r="536">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c r="AA536" s="40"/>
      <c r="AB536" s="40"/>
    </row>
    <row r="537">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c r="AA537" s="40"/>
      <c r="AB537" s="40"/>
    </row>
    <row r="538">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c r="AA538" s="40"/>
      <c r="AB538" s="40"/>
    </row>
    <row r="539">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c r="AA539" s="40"/>
      <c r="AB539" s="40"/>
    </row>
    <row r="540">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c r="AA540" s="40"/>
      <c r="AB540" s="40"/>
    </row>
    <row r="541">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c r="AA541" s="40"/>
      <c r="AB541" s="40"/>
    </row>
    <row r="542">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c r="AA542" s="40"/>
      <c r="AB542" s="40"/>
    </row>
    <row r="543">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c r="AA543" s="40"/>
      <c r="AB543" s="40"/>
    </row>
    <row r="544">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c r="AA544" s="40"/>
      <c r="AB544" s="40"/>
    </row>
    <row r="545">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c r="AA545" s="40"/>
      <c r="AB545" s="40"/>
    </row>
    <row r="546">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c r="AA546" s="40"/>
      <c r="AB546" s="40"/>
    </row>
    <row r="547">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c r="AA547" s="40"/>
      <c r="AB547" s="40"/>
    </row>
    <row r="548">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c r="AA548" s="40"/>
      <c r="AB548" s="40"/>
    </row>
    <row r="549">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c r="AA549" s="40"/>
      <c r="AB549" s="40"/>
    </row>
    <row r="550">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c r="AA550" s="40"/>
      <c r="AB550" s="40"/>
    </row>
    <row r="551">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c r="AA551" s="40"/>
      <c r="AB551" s="40"/>
    </row>
    <row r="552">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c r="AA552" s="40"/>
      <c r="AB552" s="40"/>
    </row>
    <row r="553">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c r="AA553" s="40"/>
      <c r="AB553" s="40"/>
    </row>
    <row r="554">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c r="AA554" s="40"/>
      <c r="AB554" s="40"/>
    </row>
    <row r="555">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c r="AA555" s="40"/>
      <c r="AB555" s="40"/>
    </row>
    <row r="556">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c r="AA556" s="40"/>
      <c r="AB556" s="40"/>
    </row>
    <row r="557">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c r="AA557" s="40"/>
      <c r="AB557" s="40"/>
    </row>
    <row r="558">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c r="AA558" s="40"/>
      <c r="AB558" s="40"/>
    </row>
    <row r="559">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c r="AA559" s="40"/>
      <c r="AB559" s="40"/>
    </row>
    <row r="560">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c r="AA560" s="40"/>
      <c r="AB560" s="40"/>
    </row>
    <row r="561">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c r="AA561" s="40"/>
      <c r="AB561" s="40"/>
    </row>
    <row r="562">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c r="AA562" s="40"/>
      <c r="AB562" s="40"/>
    </row>
    <row r="563">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c r="AA563" s="40"/>
      <c r="AB563" s="40"/>
    </row>
    <row r="564">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c r="AA564" s="40"/>
      <c r="AB564" s="40"/>
    </row>
    <row r="565">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c r="AA565" s="40"/>
      <c r="AB565" s="40"/>
    </row>
    <row r="566">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c r="AA566" s="40"/>
      <c r="AB566" s="40"/>
    </row>
    <row r="567">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c r="AA567" s="40"/>
      <c r="AB567" s="40"/>
    </row>
    <row r="568">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c r="AA568" s="40"/>
      <c r="AB568" s="40"/>
    </row>
    <row r="569">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c r="AA569" s="40"/>
      <c r="AB569" s="40"/>
    </row>
    <row r="570">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c r="AA570" s="40"/>
      <c r="AB570" s="40"/>
    </row>
    <row r="571">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c r="AA571" s="40"/>
      <c r="AB571" s="40"/>
    </row>
    <row r="572">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c r="AA572" s="40"/>
      <c r="AB572" s="40"/>
    </row>
    <row r="573">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c r="AA573" s="40"/>
      <c r="AB573" s="40"/>
    </row>
    <row r="574">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c r="AA574" s="40"/>
      <c r="AB574" s="40"/>
    </row>
    <row r="575">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c r="AA575" s="40"/>
      <c r="AB575" s="40"/>
    </row>
    <row r="576">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c r="AA576" s="40"/>
      <c r="AB576" s="40"/>
    </row>
    <row r="577">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c r="AA577" s="40"/>
      <c r="AB577" s="40"/>
    </row>
    <row r="578">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c r="AA578" s="40"/>
      <c r="AB578" s="40"/>
    </row>
    <row r="579">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c r="AA579" s="40"/>
      <c r="AB579" s="40"/>
    </row>
    <row r="580">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c r="AA580" s="40"/>
      <c r="AB580" s="40"/>
    </row>
    <row r="581">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c r="AA581" s="40"/>
      <c r="AB581" s="40"/>
    </row>
    <row r="582">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c r="AA582" s="40"/>
      <c r="AB582" s="40"/>
    </row>
    <row r="583">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c r="AA583" s="40"/>
      <c r="AB583" s="40"/>
    </row>
    <row r="584">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c r="AA584" s="40"/>
      <c r="AB584" s="40"/>
    </row>
    <row r="585">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c r="AA585" s="40"/>
      <c r="AB585" s="40"/>
    </row>
    <row r="586">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c r="AA586" s="40"/>
      <c r="AB586" s="40"/>
    </row>
    <row r="587">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c r="AA587" s="40"/>
      <c r="AB587" s="40"/>
    </row>
    <row r="588">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c r="AA588" s="40"/>
      <c r="AB588" s="40"/>
    </row>
    <row r="589">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c r="AA589" s="40"/>
      <c r="AB589" s="40"/>
    </row>
    <row r="590">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c r="AA590" s="40"/>
      <c r="AB590" s="40"/>
    </row>
    <row r="591">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c r="AA591" s="40"/>
      <c r="AB591" s="40"/>
    </row>
    <row r="592">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c r="AA592" s="40"/>
      <c r="AB592" s="40"/>
    </row>
    <row r="593">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c r="AA593" s="40"/>
      <c r="AB593" s="40"/>
    </row>
    <row r="594">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c r="AA594" s="40"/>
      <c r="AB594" s="40"/>
    </row>
    <row r="595">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c r="AA595" s="40"/>
      <c r="AB595" s="40"/>
    </row>
    <row r="596">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c r="AA596" s="40"/>
      <c r="AB596" s="40"/>
    </row>
    <row r="597">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c r="AA597" s="40"/>
      <c r="AB597" s="40"/>
    </row>
    <row r="598">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c r="AA598" s="40"/>
      <c r="AB598" s="40"/>
    </row>
    <row r="599">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c r="AA599" s="40"/>
      <c r="AB599" s="40"/>
    </row>
    <row r="600">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c r="AA600" s="40"/>
      <c r="AB600" s="40"/>
    </row>
    <row r="601">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c r="AA601" s="40"/>
      <c r="AB601" s="40"/>
    </row>
    <row r="602">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c r="AA602" s="40"/>
      <c r="AB602" s="40"/>
    </row>
    <row r="603">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c r="AA603" s="40"/>
      <c r="AB603" s="40"/>
    </row>
    <row r="604">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c r="AA604" s="40"/>
      <c r="AB604" s="40"/>
    </row>
    <row r="605">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c r="AA605" s="40"/>
      <c r="AB605" s="40"/>
    </row>
    <row r="606">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c r="AA606" s="40"/>
      <c r="AB606" s="40"/>
    </row>
    <row r="607">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c r="AA607" s="40"/>
      <c r="AB607" s="40"/>
    </row>
    <row r="608">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c r="AA608" s="40"/>
      <c r="AB608" s="40"/>
    </row>
    <row r="609">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c r="AA609" s="40"/>
      <c r="AB609" s="40"/>
    </row>
    <row r="610">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c r="AA610" s="40"/>
      <c r="AB610" s="40"/>
    </row>
    <row r="611">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c r="AA611" s="40"/>
      <c r="AB611" s="40"/>
    </row>
    <row r="612">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c r="AA612" s="40"/>
      <c r="AB612" s="40"/>
    </row>
    <row r="613">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c r="AA613" s="40"/>
      <c r="AB613" s="40"/>
    </row>
    <row r="614">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c r="AA614" s="40"/>
      <c r="AB614" s="40"/>
    </row>
    <row r="615">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c r="AA615" s="40"/>
      <c r="AB615" s="40"/>
    </row>
    <row r="616">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c r="AA616" s="40"/>
      <c r="AB616" s="40"/>
    </row>
    <row r="617">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c r="AA617" s="40"/>
      <c r="AB617" s="40"/>
    </row>
    <row r="618">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c r="AA618" s="40"/>
      <c r="AB618" s="40"/>
    </row>
    <row r="619">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c r="AA619" s="40"/>
      <c r="AB619" s="40"/>
    </row>
    <row r="620">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c r="AA620" s="40"/>
      <c r="AB620" s="40"/>
    </row>
    <row r="621">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c r="AA621" s="40"/>
      <c r="AB621" s="40"/>
    </row>
    <row r="622">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c r="AA622" s="40"/>
      <c r="AB622" s="40"/>
    </row>
    <row r="623">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c r="AA623" s="40"/>
      <c r="AB623" s="40"/>
    </row>
    <row r="624">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c r="AA624" s="40"/>
      <c r="AB624" s="40"/>
    </row>
    <row r="625">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c r="AA625" s="40"/>
      <c r="AB625" s="40"/>
    </row>
    <row r="626">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c r="AA626" s="40"/>
      <c r="AB626" s="40"/>
    </row>
    <row r="627">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c r="AA627" s="40"/>
      <c r="AB627" s="40"/>
    </row>
    <row r="628">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c r="AA628" s="40"/>
      <c r="AB628" s="40"/>
    </row>
    <row r="629">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c r="AA629" s="40"/>
      <c r="AB629" s="40"/>
    </row>
    <row r="630">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c r="AA630" s="40"/>
      <c r="AB630" s="40"/>
    </row>
    <row r="631">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c r="AA631" s="40"/>
      <c r="AB631" s="40"/>
    </row>
    <row r="632">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c r="AA632" s="40"/>
      <c r="AB632" s="40"/>
    </row>
    <row r="633">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c r="AA633" s="40"/>
      <c r="AB633" s="40"/>
    </row>
    <row r="634">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c r="AA634" s="40"/>
      <c r="AB634" s="40"/>
    </row>
    <row r="635">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c r="AA635" s="40"/>
      <c r="AB635" s="40"/>
    </row>
    <row r="636">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c r="AA636" s="40"/>
      <c r="AB636" s="40"/>
    </row>
    <row r="637">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c r="AA637" s="40"/>
      <c r="AB637" s="40"/>
    </row>
    <row r="638">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c r="AA638" s="40"/>
      <c r="AB638" s="40"/>
    </row>
    <row r="639">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c r="AA639" s="40"/>
      <c r="AB639" s="40"/>
    </row>
    <row r="640">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c r="AA640" s="40"/>
      <c r="AB640" s="40"/>
    </row>
    <row r="641">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c r="AA641" s="40"/>
      <c r="AB641" s="40"/>
    </row>
    <row r="642">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c r="AA642" s="40"/>
      <c r="AB642" s="40"/>
    </row>
    <row r="643">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c r="AA643" s="40"/>
      <c r="AB643" s="40"/>
    </row>
    <row r="644">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c r="AA644" s="40"/>
      <c r="AB644" s="40"/>
    </row>
    <row r="645">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c r="AA645" s="40"/>
      <c r="AB645" s="40"/>
    </row>
    <row r="646">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c r="AA646" s="40"/>
      <c r="AB646" s="40"/>
    </row>
    <row r="647">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c r="AA647" s="40"/>
      <c r="AB647" s="40"/>
    </row>
    <row r="648">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c r="AA648" s="40"/>
      <c r="AB648" s="40"/>
    </row>
    <row r="649">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c r="AA649" s="40"/>
      <c r="AB649" s="40"/>
    </row>
    <row r="650">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c r="AA650" s="40"/>
      <c r="AB650" s="40"/>
    </row>
    <row r="651">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c r="AA651" s="40"/>
      <c r="AB651" s="40"/>
    </row>
    <row r="652">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c r="AA652" s="40"/>
      <c r="AB652" s="40"/>
    </row>
    <row r="653">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c r="AA653" s="40"/>
      <c r="AB653" s="40"/>
    </row>
    <row r="654">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c r="AA654" s="40"/>
      <c r="AB654" s="40"/>
    </row>
    <row r="655">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c r="AA655" s="40"/>
      <c r="AB655" s="40"/>
    </row>
    <row r="656">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c r="AA656" s="40"/>
      <c r="AB656" s="40"/>
    </row>
    <row r="657">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c r="AA657" s="40"/>
      <c r="AB657" s="40"/>
    </row>
    <row r="658">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c r="AA658" s="40"/>
      <c r="AB658" s="40"/>
    </row>
    <row r="659">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c r="AA659" s="40"/>
      <c r="AB659" s="40"/>
    </row>
    <row r="660">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c r="AA660" s="40"/>
      <c r="AB660" s="40"/>
    </row>
    <row r="661">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c r="AA661" s="40"/>
      <c r="AB661" s="40"/>
    </row>
    <row r="662">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c r="AA662" s="40"/>
      <c r="AB662" s="40"/>
    </row>
    <row r="663">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c r="AA663" s="40"/>
      <c r="AB663" s="40"/>
    </row>
    <row r="664">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c r="AA664" s="40"/>
      <c r="AB664" s="40"/>
    </row>
    <row r="665">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c r="AA665" s="40"/>
      <c r="AB665" s="40"/>
    </row>
    <row r="666">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c r="AA666" s="40"/>
      <c r="AB666" s="40"/>
    </row>
    <row r="667">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c r="AA667" s="40"/>
      <c r="AB667" s="40"/>
    </row>
    <row r="668">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c r="AA668" s="40"/>
      <c r="AB668" s="40"/>
    </row>
    <row r="669">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c r="AA669" s="40"/>
      <c r="AB669" s="40"/>
    </row>
    <row r="670">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c r="AA670" s="40"/>
      <c r="AB670" s="40"/>
    </row>
    <row r="671">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c r="AA671" s="40"/>
      <c r="AB671" s="40"/>
    </row>
    <row r="672">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c r="AA672" s="40"/>
      <c r="AB672" s="40"/>
    </row>
    <row r="673">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c r="AA673" s="40"/>
      <c r="AB673" s="40"/>
    </row>
    <row r="674">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c r="AA674" s="40"/>
      <c r="AB674" s="40"/>
    </row>
    <row r="675">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c r="AA675" s="40"/>
      <c r="AB675" s="40"/>
    </row>
    <row r="676">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c r="AA676" s="40"/>
      <c r="AB676" s="40"/>
    </row>
    <row r="677">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c r="AA677" s="40"/>
      <c r="AB677" s="40"/>
    </row>
    <row r="678">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c r="AA678" s="40"/>
      <c r="AB678" s="40"/>
    </row>
    <row r="679">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c r="AA679" s="40"/>
      <c r="AB679" s="40"/>
    </row>
    <row r="680">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c r="AA680" s="40"/>
      <c r="AB680" s="40"/>
    </row>
    <row r="681">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c r="AA681" s="40"/>
      <c r="AB681" s="40"/>
    </row>
    <row r="682">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c r="AA682" s="40"/>
      <c r="AB682" s="40"/>
    </row>
    <row r="683">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c r="AA683" s="40"/>
      <c r="AB683" s="40"/>
    </row>
    <row r="684">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c r="AA684" s="40"/>
      <c r="AB684" s="40"/>
    </row>
    <row r="685">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c r="AA685" s="40"/>
      <c r="AB685" s="40"/>
    </row>
    <row r="686">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c r="AA686" s="40"/>
      <c r="AB686" s="40"/>
    </row>
    <row r="687">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c r="AA687" s="40"/>
      <c r="AB687" s="40"/>
    </row>
    <row r="688">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c r="AA688" s="40"/>
      <c r="AB688" s="40"/>
    </row>
    <row r="689">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c r="AA689" s="40"/>
      <c r="AB689" s="40"/>
    </row>
    <row r="690">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c r="AA690" s="40"/>
      <c r="AB690" s="40"/>
    </row>
    <row r="691">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c r="AA691" s="40"/>
      <c r="AB691" s="40"/>
    </row>
    <row r="692">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c r="AA692" s="40"/>
      <c r="AB692" s="40"/>
    </row>
    <row r="693">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c r="AA693" s="40"/>
      <c r="AB693" s="40"/>
    </row>
    <row r="694">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c r="AA694" s="40"/>
      <c r="AB694" s="40"/>
    </row>
    <row r="695">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c r="AA695" s="40"/>
      <c r="AB695" s="40"/>
    </row>
    <row r="696">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c r="AA696" s="40"/>
      <c r="AB696" s="40"/>
    </row>
    <row r="697">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c r="AA697" s="40"/>
      <c r="AB697" s="40"/>
    </row>
    <row r="698">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c r="AA698" s="40"/>
      <c r="AB698" s="40"/>
    </row>
    <row r="699">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c r="AA699" s="40"/>
      <c r="AB699" s="40"/>
    </row>
    <row r="700">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c r="AA700" s="40"/>
      <c r="AB700" s="40"/>
    </row>
    <row r="701">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c r="AA701" s="40"/>
      <c r="AB701" s="40"/>
    </row>
    <row r="702">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c r="AA702" s="40"/>
      <c r="AB702" s="40"/>
    </row>
    <row r="703">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c r="AA703" s="40"/>
      <c r="AB703" s="40"/>
    </row>
    <row r="704">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c r="AA704" s="40"/>
      <c r="AB704" s="40"/>
    </row>
    <row r="705">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c r="AA705" s="40"/>
      <c r="AB705" s="40"/>
    </row>
    <row r="706">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c r="AA706" s="40"/>
      <c r="AB706" s="40"/>
    </row>
    <row r="707">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c r="AA707" s="40"/>
      <c r="AB707" s="40"/>
    </row>
    <row r="708">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c r="AA708" s="40"/>
      <c r="AB708" s="40"/>
    </row>
    <row r="709">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c r="AA709" s="40"/>
      <c r="AB709" s="40"/>
    </row>
    <row r="710">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c r="AA710" s="40"/>
      <c r="AB710" s="40"/>
    </row>
    <row r="711">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c r="AA711" s="40"/>
      <c r="AB711" s="40"/>
    </row>
    <row r="712">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c r="AA712" s="40"/>
      <c r="AB712" s="40"/>
    </row>
    <row r="713">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c r="AA713" s="40"/>
      <c r="AB713" s="40"/>
    </row>
    <row r="714">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c r="AA714" s="40"/>
      <c r="AB714" s="40"/>
    </row>
    <row r="715">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c r="AA715" s="40"/>
      <c r="AB715" s="40"/>
    </row>
    <row r="716">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c r="AA716" s="40"/>
      <c r="AB716" s="40"/>
    </row>
    <row r="717">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c r="AA717" s="40"/>
      <c r="AB717" s="40"/>
    </row>
    <row r="718">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c r="AA718" s="40"/>
      <c r="AB718" s="40"/>
    </row>
    <row r="719">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c r="AA719" s="40"/>
      <c r="AB719" s="40"/>
    </row>
    <row r="720">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c r="AA720" s="40"/>
      <c r="AB720" s="40"/>
    </row>
    <row r="721">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c r="AA721" s="40"/>
      <c r="AB721" s="40"/>
    </row>
    <row r="722">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c r="AA722" s="40"/>
      <c r="AB722" s="40"/>
    </row>
    <row r="723">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c r="AA723" s="40"/>
      <c r="AB723" s="40"/>
    </row>
    <row r="724">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c r="AA724" s="40"/>
      <c r="AB724" s="40"/>
    </row>
    <row r="725">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c r="AA725" s="40"/>
      <c r="AB725" s="40"/>
    </row>
    <row r="726">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c r="AA726" s="40"/>
      <c r="AB726" s="40"/>
    </row>
    <row r="727">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c r="AA727" s="40"/>
      <c r="AB727" s="40"/>
    </row>
    <row r="728">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c r="AA728" s="40"/>
      <c r="AB728" s="40"/>
    </row>
    <row r="729">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c r="AA729" s="40"/>
      <c r="AB729" s="40"/>
    </row>
    <row r="730">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c r="AA730" s="40"/>
      <c r="AB730" s="40"/>
    </row>
    <row r="731">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c r="AA731" s="40"/>
      <c r="AB731" s="40"/>
    </row>
    <row r="732">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c r="AA732" s="40"/>
      <c r="AB732" s="40"/>
    </row>
    <row r="733">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c r="AA733" s="40"/>
      <c r="AB733" s="40"/>
    </row>
    <row r="734">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c r="AA734" s="40"/>
      <c r="AB734" s="40"/>
    </row>
    <row r="735">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c r="AA735" s="40"/>
      <c r="AB735" s="40"/>
    </row>
    <row r="736">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c r="AA736" s="40"/>
      <c r="AB736" s="40"/>
    </row>
    <row r="737">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c r="AA737" s="40"/>
      <c r="AB737" s="40"/>
    </row>
    <row r="738">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c r="AA738" s="40"/>
      <c r="AB738" s="40"/>
    </row>
    <row r="739">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c r="AA739" s="40"/>
      <c r="AB739" s="40"/>
    </row>
    <row r="740">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c r="AA740" s="40"/>
      <c r="AB740" s="40"/>
    </row>
    <row r="741">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c r="AA741" s="40"/>
      <c r="AB741" s="40"/>
    </row>
    <row r="742">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c r="AA742" s="40"/>
      <c r="AB742" s="40"/>
    </row>
    <row r="743">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c r="AA743" s="40"/>
      <c r="AB743" s="40"/>
    </row>
    <row r="744">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c r="AA744" s="40"/>
      <c r="AB744" s="40"/>
    </row>
    <row r="745">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c r="AA745" s="40"/>
      <c r="AB745" s="40"/>
    </row>
    <row r="746">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c r="AA746" s="40"/>
      <c r="AB746" s="40"/>
    </row>
    <row r="747">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c r="AA747" s="40"/>
      <c r="AB747" s="40"/>
    </row>
    <row r="748">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c r="AA748" s="40"/>
      <c r="AB748" s="40"/>
    </row>
    <row r="749">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c r="AA749" s="40"/>
      <c r="AB749" s="40"/>
    </row>
    <row r="750">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c r="AA750" s="40"/>
      <c r="AB750" s="40"/>
    </row>
    <row r="751">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c r="AA751" s="40"/>
      <c r="AB751" s="40"/>
    </row>
    <row r="752">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c r="AA752" s="40"/>
      <c r="AB752" s="40"/>
    </row>
    <row r="753">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c r="AA753" s="40"/>
      <c r="AB753" s="40"/>
    </row>
    <row r="754">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c r="AA754" s="40"/>
      <c r="AB754" s="40"/>
    </row>
    <row r="755">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c r="AA755" s="40"/>
      <c r="AB755" s="40"/>
    </row>
    <row r="756">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c r="AA756" s="40"/>
      <c r="AB756" s="40"/>
    </row>
    <row r="757">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c r="AA757" s="40"/>
      <c r="AB757" s="40"/>
    </row>
    <row r="758">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c r="AA758" s="40"/>
      <c r="AB758" s="40"/>
    </row>
    <row r="759">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c r="AA759" s="40"/>
      <c r="AB759" s="40"/>
    </row>
    <row r="760">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c r="AA760" s="40"/>
      <c r="AB760" s="40"/>
    </row>
    <row r="761">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c r="AA761" s="40"/>
      <c r="AB761" s="40"/>
    </row>
    <row r="762">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c r="AA762" s="40"/>
      <c r="AB762" s="40"/>
    </row>
    <row r="763">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c r="AA763" s="40"/>
      <c r="AB763" s="40"/>
    </row>
    <row r="764">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c r="AA764" s="40"/>
      <c r="AB764" s="40"/>
    </row>
    <row r="765">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c r="AA765" s="40"/>
      <c r="AB765" s="40"/>
    </row>
    <row r="766">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c r="AA766" s="40"/>
      <c r="AB766" s="40"/>
    </row>
    <row r="767">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c r="AA767" s="40"/>
      <c r="AB767" s="40"/>
    </row>
    <row r="768">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c r="AA768" s="40"/>
      <c r="AB768" s="40"/>
    </row>
    <row r="769">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c r="AA769" s="40"/>
      <c r="AB769" s="40"/>
    </row>
    <row r="770">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c r="AA770" s="40"/>
      <c r="AB770" s="40"/>
    </row>
    <row r="771">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c r="AA771" s="40"/>
      <c r="AB771" s="40"/>
    </row>
    <row r="772">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c r="AA772" s="40"/>
      <c r="AB772" s="40"/>
    </row>
    <row r="773">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c r="AA773" s="40"/>
      <c r="AB773" s="40"/>
    </row>
    <row r="774">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c r="AA774" s="40"/>
      <c r="AB774" s="40"/>
    </row>
    <row r="775">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c r="AA775" s="40"/>
      <c r="AB775" s="40"/>
    </row>
    <row r="776">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c r="AA776" s="40"/>
      <c r="AB776" s="40"/>
    </row>
    <row r="777">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c r="AA777" s="40"/>
      <c r="AB777" s="40"/>
    </row>
    <row r="778">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c r="AA778" s="40"/>
      <c r="AB778" s="40"/>
    </row>
    <row r="779">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c r="AA779" s="40"/>
      <c r="AB779" s="40"/>
    </row>
    <row r="780">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c r="AA780" s="40"/>
      <c r="AB780" s="40"/>
    </row>
    <row r="781">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c r="AA781" s="40"/>
      <c r="AB781" s="40"/>
    </row>
    <row r="782">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c r="AA782" s="40"/>
      <c r="AB782" s="40"/>
    </row>
    <row r="783">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c r="AA783" s="40"/>
      <c r="AB783" s="40"/>
    </row>
    <row r="784">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c r="AA784" s="40"/>
      <c r="AB784" s="40"/>
    </row>
    <row r="785">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c r="AA785" s="40"/>
      <c r="AB785" s="40"/>
    </row>
    <row r="786">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c r="AA786" s="40"/>
      <c r="AB786" s="40"/>
    </row>
    <row r="787">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c r="AA787" s="40"/>
      <c r="AB787" s="40"/>
    </row>
    <row r="788">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c r="AA788" s="40"/>
      <c r="AB788" s="40"/>
    </row>
    <row r="789">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c r="AA789" s="40"/>
      <c r="AB789" s="40"/>
    </row>
    <row r="790">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c r="AA790" s="40"/>
      <c r="AB790" s="40"/>
    </row>
    <row r="791">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c r="AA791" s="40"/>
      <c r="AB791" s="40"/>
    </row>
    <row r="792">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c r="AA792" s="40"/>
      <c r="AB792" s="40"/>
    </row>
    <row r="793">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c r="AA793" s="40"/>
      <c r="AB793" s="40"/>
    </row>
    <row r="794">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c r="AA794" s="40"/>
      <c r="AB794" s="40"/>
    </row>
    <row r="795">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c r="AA795" s="40"/>
      <c r="AB795" s="40"/>
    </row>
    <row r="796">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c r="AA796" s="40"/>
      <c r="AB796" s="40"/>
    </row>
    <row r="797">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c r="AA797" s="40"/>
      <c r="AB797" s="40"/>
    </row>
    <row r="798">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c r="AA798" s="40"/>
      <c r="AB798" s="40"/>
    </row>
    <row r="799">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c r="AA799" s="40"/>
      <c r="AB799" s="40"/>
    </row>
    <row r="800">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c r="AA800" s="40"/>
      <c r="AB800" s="40"/>
    </row>
    <row r="801">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c r="AA801" s="40"/>
      <c r="AB801" s="40"/>
    </row>
    <row r="802">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c r="AA802" s="40"/>
      <c r="AB802" s="40"/>
    </row>
    <row r="803">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c r="AA803" s="40"/>
      <c r="AB803" s="40"/>
    </row>
    <row r="804">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c r="AA804" s="40"/>
      <c r="AB804" s="40"/>
    </row>
    <row r="805">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c r="AA805" s="40"/>
      <c r="AB805" s="40"/>
    </row>
    <row r="806">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c r="AA806" s="40"/>
      <c r="AB806" s="40"/>
    </row>
    <row r="807">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c r="AA807" s="40"/>
      <c r="AB807" s="40"/>
    </row>
    <row r="808">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c r="AA808" s="40"/>
      <c r="AB808" s="40"/>
    </row>
    <row r="809">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c r="AA809" s="40"/>
      <c r="AB809" s="40"/>
    </row>
    <row r="810">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c r="AA810" s="40"/>
      <c r="AB810" s="40"/>
    </row>
    <row r="811">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c r="AA811" s="40"/>
      <c r="AB811" s="40"/>
    </row>
    <row r="812">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c r="AA812" s="40"/>
      <c r="AB812" s="40"/>
    </row>
    <row r="813">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c r="AA813" s="40"/>
      <c r="AB813" s="40"/>
    </row>
    <row r="814">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c r="AA814" s="40"/>
      <c r="AB814" s="40"/>
    </row>
    <row r="815">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c r="AA815" s="40"/>
      <c r="AB815" s="40"/>
    </row>
    <row r="816">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c r="AA816" s="40"/>
      <c r="AB816" s="40"/>
    </row>
    <row r="817">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c r="AA817" s="40"/>
      <c r="AB817" s="40"/>
    </row>
    <row r="818">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c r="AA818" s="40"/>
      <c r="AB818" s="40"/>
    </row>
    <row r="819">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c r="AA819" s="40"/>
      <c r="AB819" s="40"/>
    </row>
    <row r="820">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c r="AA820" s="40"/>
      <c r="AB820" s="40"/>
    </row>
    <row r="821">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c r="AA821" s="40"/>
      <c r="AB821" s="40"/>
    </row>
    <row r="822">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c r="AA822" s="40"/>
      <c r="AB822" s="40"/>
    </row>
    <row r="823">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c r="AA823" s="40"/>
      <c r="AB823" s="40"/>
    </row>
    <row r="824">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c r="AA824" s="40"/>
      <c r="AB824" s="40"/>
    </row>
    <row r="825">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c r="AA825" s="40"/>
      <c r="AB825" s="40"/>
    </row>
    <row r="826">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c r="AA826" s="40"/>
      <c r="AB826" s="40"/>
    </row>
    <row r="827">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c r="AA827" s="40"/>
      <c r="AB827" s="40"/>
    </row>
    <row r="828">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c r="AA828" s="40"/>
      <c r="AB828" s="40"/>
    </row>
    <row r="829">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c r="AA829" s="40"/>
      <c r="AB829" s="40"/>
    </row>
    <row r="830">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c r="AA830" s="40"/>
      <c r="AB830" s="40"/>
    </row>
    <row r="831">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c r="AA831" s="40"/>
      <c r="AB831" s="40"/>
    </row>
    <row r="832">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c r="AA832" s="40"/>
      <c r="AB832" s="40"/>
    </row>
    <row r="833">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c r="AA833" s="40"/>
      <c r="AB833" s="40"/>
    </row>
    <row r="834">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c r="AA834" s="40"/>
      <c r="AB834" s="40"/>
    </row>
    <row r="835">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c r="AA835" s="40"/>
      <c r="AB835" s="40"/>
    </row>
    <row r="836">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c r="AA836" s="40"/>
      <c r="AB836" s="40"/>
    </row>
    <row r="837">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c r="AA837" s="40"/>
      <c r="AB837" s="40"/>
    </row>
    <row r="838">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c r="AA838" s="40"/>
      <c r="AB838" s="40"/>
    </row>
    <row r="839">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c r="AA839" s="40"/>
      <c r="AB839" s="40"/>
    </row>
    <row r="840">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c r="AA840" s="40"/>
      <c r="AB840" s="40"/>
    </row>
    <row r="841">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c r="AA841" s="40"/>
      <c r="AB841" s="40"/>
    </row>
    <row r="842">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c r="AA842" s="40"/>
      <c r="AB842" s="40"/>
    </row>
    <row r="843">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c r="AA843" s="40"/>
      <c r="AB843" s="40"/>
    </row>
    <row r="844">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c r="AA844" s="40"/>
      <c r="AB844" s="40"/>
    </row>
    <row r="845">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c r="AA845" s="40"/>
      <c r="AB845" s="40"/>
    </row>
    <row r="846">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c r="AA846" s="40"/>
      <c r="AB846" s="40"/>
    </row>
    <row r="847">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c r="AA847" s="40"/>
      <c r="AB847" s="40"/>
    </row>
    <row r="848">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c r="AA848" s="40"/>
      <c r="AB848" s="40"/>
    </row>
    <row r="849">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c r="AA849" s="40"/>
      <c r="AB849" s="40"/>
    </row>
    <row r="850">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c r="AA850" s="40"/>
      <c r="AB850" s="40"/>
    </row>
    <row r="851">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c r="AA851" s="40"/>
      <c r="AB851" s="40"/>
    </row>
    <row r="852">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c r="AA852" s="40"/>
      <c r="AB852" s="40"/>
    </row>
    <row r="853">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c r="AA853" s="40"/>
      <c r="AB853" s="40"/>
    </row>
    <row r="854">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c r="AA854" s="40"/>
      <c r="AB854" s="40"/>
    </row>
    <row r="855">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c r="AA855" s="40"/>
      <c r="AB855" s="40"/>
    </row>
    <row r="856">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c r="AA856" s="40"/>
      <c r="AB856" s="40"/>
    </row>
    <row r="857">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c r="AA857" s="40"/>
      <c r="AB857" s="40"/>
    </row>
    <row r="858">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c r="AA858" s="40"/>
      <c r="AB858" s="40"/>
    </row>
    <row r="859">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c r="AA859" s="40"/>
      <c r="AB859" s="40"/>
    </row>
    <row r="860">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c r="AA860" s="40"/>
      <c r="AB860" s="40"/>
    </row>
    <row r="861">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c r="AA861" s="40"/>
      <c r="AB861" s="40"/>
    </row>
    <row r="862">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c r="AA862" s="40"/>
      <c r="AB862" s="40"/>
    </row>
    <row r="863">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c r="AA863" s="40"/>
      <c r="AB863" s="40"/>
    </row>
    <row r="864">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c r="AA864" s="40"/>
      <c r="AB864" s="40"/>
    </row>
    <row r="865">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c r="AA865" s="40"/>
      <c r="AB865" s="40"/>
    </row>
    <row r="866">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c r="AA866" s="40"/>
      <c r="AB866" s="40"/>
    </row>
    <row r="867">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c r="AA867" s="40"/>
      <c r="AB867" s="40"/>
    </row>
    <row r="868">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c r="AA868" s="40"/>
      <c r="AB868" s="40"/>
    </row>
    <row r="869">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c r="AA869" s="40"/>
      <c r="AB869" s="40"/>
    </row>
    <row r="870">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c r="AA870" s="40"/>
      <c r="AB870" s="40"/>
    </row>
    <row r="871">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c r="AA871" s="40"/>
      <c r="AB871" s="40"/>
    </row>
    <row r="872">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c r="AA872" s="40"/>
      <c r="AB872" s="40"/>
    </row>
    <row r="873">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c r="AA873" s="40"/>
      <c r="AB873" s="40"/>
    </row>
    <row r="874">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c r="AA874" s="40"/>
      <c r="AB874" s="40"/>
    </row>
    <row r="875">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c r="AA875" s="40"/>
      <c r="AB875" s="40"/>
    </row>
    <row r="876">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c r="AA876" s="40"/>
      <c r="AB876" s="40"/>
    </row>
    <row r="877">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c r="AA877" s="40"/>
      <c r="AB877" s="40"/>
    </row>
    <row r="878">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c r="AA878" s="40"/>
      <c r="AB878" s="40"/>
    </row>
    <row r="879">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c r="AA879" s="40"/>
      <c r="AB879" s="40"/>
    </row>
    <row r="880">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c r="AA880" s="40"/>
      <c r="AB880" s="40"/>
    </row>
    <row r="881">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c r="AA881" s="40"/>
      <c r="AB881" s="40"/>
    </row>
    <row r="882">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c r="AA882" s="40"/>
      <c r="AB882" s="40"/>
    </row>
    <row r="883">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c r="AA883" s="40"/>
      <c r="AB883" s="40"/>
    </row>
    <row r="884">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c r="AA884" s="40"/>
      <c r="AB884" s="40"/>
    </row>
    <row r="885">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c r="AA885" s="40"/>
      <c r="AB885" s="40"/>
    </row>
    <row r="886">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c r="AA886" s="40"/>
      <c r="AB886" s="40"/>
    </row>
    <row r="887">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c r="AA887" s="40"/>
      <c r="AB887" s="40"/>
    </row>
    <row r="888">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c r="AA888" s="40"/>
      <c r="AB888" s="40"/>
    </row>
    <row r="889">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c r="AA889" s="40"/>
      <c r="AB889" s="40"/>
    </row>
    <row r="890">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c r="AA890" s="40"/>
      <c r="AB890" s="40"/>
    </row>
    <row r="891">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c r="AA891" s="40"/>
      <c r="AB891" s="40"/>
    </row>
    <row r="892">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c r="AA892" s="40"/>
      <c r="AB892" s="40"/>
    </row>
    <row r="893">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c r="AA893" s="40"/>
      <c r="AB893" s="40"/>
    </row>
    <row r="894">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c r="AA894" s="40"/>
      <c r="AB894" s="40"/>
    </row>
    <row r="895">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c r="AA895" s="40"/>
      <c r="AB895" s="40"/>
    </row>
    <row r="896">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c r="AA896" s="40"/>
      <c r="AB896" s="40"/>
    </row>
    <row r="897">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c r="AA897" s="40"/>
      <c r="AB897" s="40"/>
    </row>
    <row r="898">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c r="AA898" s="40"/>
      <c r="AB898" s="40"/>
    </row>
    <row r="899">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c r="AA899" s="40"/>
      <c r="AB899" s="40"/>
    </row>
    <row r="900">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c r="AA900" s="40"/>
      <c r="AB900" s="40"/>
    </row>
    <row r="901">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c r="AA901" s="40"/>
      <c r="AB901" s="40"/>
    </row>
    <row r="902">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c r="AA902" s="40"/>
      <c r="AB902" s="40"/>
    </row>
    <row r="903">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c r="AA903" s="40"/>
      <c r="AB903" s="40"/>
    </row>
    <row r="904">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c r="AA904" s="40"/>
      <c r="AB904" s="40"/>
    </row>
    <row r="905">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c r="AA905" s="40"/>
      <c r="AB905" s="40"/>
    </row>
    <row r="906">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c r="AA906" s="40"/>
      <c r="AB906" s="40"/>
    </row>
    <row r="907">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c r="AA907" s="40"/>
      <c r="AB907" s="40"/>
    </row>
    <row r="908">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c r="AA908" s="40"/>
      <c r="AB908" s="40"/>
    </row>
    <row r="909">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c r="AA909" s="40"/>
      <c r="AB909" s="40"/>
    </row>
    <row r="910">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c r="AA910" s="40"/>
      <c r="AB910" s="40"/>
    </row>
    <row r="911">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c r="AA911" s="40"/>
      <c r="AB911" s="40"/>
    </row>
    <row r="912">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c r="AA912" s="40"/>
      <c r="AB912" s="40"/>
    </row>
    <row r="913">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c r="AA913" s="40"/>
      <c r="AB913" s="40"/>
    </row>
    <row r="914">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c r="AA914" s="40"/>
      <c r="AB914" s="40"/>
    </row>
    <row r="915">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c r="AA915" s="40"/>
      <c r="AB915" s="40"/>
    </row>
    <row r="916">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c r="AA916" s="40"/>
      <c r="AB916" s="40"/>
    </row>
    <row r="917">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c r="AA917" s="40"/>
      <c r="AB917" s="40"/>
    </row>
    <row r="918">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c r="AA918" s="40"/>
      <c r="AB918" s="40"/>
    </row>
    <row r="919">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c r="AA919" s="40"/>
      <c r="AB919" s="40"/>
    </row>
    <row r="920">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c r="AA920" s="40"/>
      <c r="AB920" s="40"/>
    </row>
    <row r="921">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c r="AA921" s="40"/>
      <c r="AB921" s="40"/>
    </row>
    <row r="922">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c r="AA922" s="40"/>
      <c r="AB922" s="40"/>
    </row>
    <row r="923">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c r="AA923" s="40"/>
      <c r="AB923" s="40"/>
    </row>
    <row r="924">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c r="AA924" s="40"/>
      <c r="AB924" s="40"/>
    </row>
    <row r="925">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c r="AA925" s="40"/>
      <c r="AB925" s="40"/>
    </row>
    <row r="926">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c r="AA926" s="40"/>
      <c r="AB926" s="40"/>
    </row>
    <row r="927">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c r="AA927" s="40"/>
      <c r="AB927" s="40"/>
    </row>
    <row r="928">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c r="AA928" s="40"/>
      <c r="AB928" s="40"/>
    </row>
    <row r="929">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c r="AA929" s="40"/>
      <c r="AB929" s="40"/>
    </row>
    <row r="930">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c r="AA930" s="40"/>
      <c r="AB930" s="40"/>
    </row>
    <row r="931">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c r="AA931" s="40"/>
      <c r="AB931" s="40"/>
    </row>
    <row r="932">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c r="AA932" s="40"/>
      <c r="AB932" s="40"/>
    </row>
    <row r="933">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c r="AA933" s="40"/>
      <c r="AB933" s="40"/>
    </row>
    <row r="934">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c r="AA934" s="40"/>
      <c r="AB934" s="40"/>
    </row>
    <row r="935">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c r="AA935" s="40"/>
      <c r="AB935" s="40"/>
    </row>
    <row r="936">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c r="AA936" s="40"/>
      <c r="AB936" s="40"/>
    </row>
    <row r="937">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c r="AA937" s="40"/>
      <c r="AB937" s="40"/>
    </row>
    <row r="938">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c r="AA938" s="40"/>
      <c r="AB938" s="40"/>
    </row>
    <row r="939">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c r="AA939" s="40"/>
      <c r="AB939" s="40"/>
    </row>
    <row r="940">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c r="AA940" s="40"/>
      <c r="AB940" s="40"/>
    </row>
    <row r="941">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c r="AA941" s="40"/>
      <c r="AB941" s="40"/>
    </row>
    <row r="942">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c r="AA942" s="40"/>
      <c r="AB942" s="40"/>
    </row>
    <row r="943">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c r="AA943" s="40"/>
      <c r="AB943" s="40"/>
    </row>
    <row r="944">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c r="AA944" s="40"/>
      <c r="AB944" s="40"/>
    </row>
    <row r="945">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c r="AA945" s="40"/>
      <c r="AB945" s="40"/>
    </row>
    <row r="946">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c r="AA946" s="40"/>
      <c r="AB946" s="40"/>
    </row>
    <row r="947">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c r="AA947" s="40"/>
      <c r="AB947" s="40"/>
    </row>
    <row r="948">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c r="AA948" s="40"/>
      <c r="AB948" s="40"/>
    </row>
    <row r="949">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c r="AA949" s="40"/>
      <c r="AB949" s="40"/>
    </row>
    <row r="950">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c r="AA950" s="40"/>
      <c r="AB950" s="40"/>
    </row>
    <row r="951">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c r="AA951" s="40"/>
      <c r="AB951" s="40"/>
    </row>
    <row r="952">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c r="AA952" s="40"/>
      <c r="AB952" s="40"/>
    </row>
    <row r="953">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c r="AA953" s="40"/>
      <c r="AB953" s="40"/>
    </row>
    <row r="954">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c r="AA954" s="40"/>
      <c r="AB954" s="40"/>
    </row>
    <row r="955">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c r="AA955" s="40"/>
      <c r="AB955" s="40"/>
    </row>
    <row r="956">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c r="AA956" s="40"/>
      <c r="AB956" s="40"/>
    </row>
    <row r="957">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c r="AA957" s="40"/>
      <c r="AB957" s="40"/>
    </row>
    <row r="958">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c r="AA958" s="40"/>
      <c r="AB958" s="40"/>
    </row>
    <row r="959">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c r="AA959" s="40"/>
      <c r="AB959" s="40"/>
    </row>
    <row r="960">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c r="AA960" s="40"/>
      <c r="AB960" s="40"/>
    </row>
    <row r="961">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c r="AA961" s="40"/>
      <c r="AB961" s="40"/>
    </row>
    <row r="962">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c r="AA962" s="40"/>
      <c r="AB962" s="40"/>
    </row>
    <row r="963">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c r="AA963" s="40"/>
      <c r="AB963" s="40"/>
    </row>
    <row r="964">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c r="AA964" s="40"/>
      <c r="AB964" s="40"/>
    </row>
    <row r="965">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c r="AA965" s="40"/>
      <c r="AB965" s="40"/>
    </row>
    <row r="966">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c r="AA966" s="40"/>
      <c r="AB966" s="40"/>
    </row>
    <row r="967">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c r="AA967" s="40"/>
      <c r="AB967" s="40"/>
    </row>
    <row r="968">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c r="AA968" s="40"/>
      <c r="AB968" s="40"/>
    </row>
    <row r="969">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c r="AA969" s="40"/>
      <c r="AB969" s="40"/>
    </row>
    <row r="970">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c r="AA970" s="40"/>
      <c r="AB970" s="40"/>
    </row>
    <row r="971">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c r="AA971" s="40"/>
      <c r="AB971" s="40"/>
    </row>
    <row r="972">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c r="AA972" s="40"/>
      <c r="AB972" s="40"/>
    </row>
    <row r="973">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c r="AA973" s="40"/>
      <c r="AB973" s="40"/>
    </row>
    <row r="974">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c r="AA974" s="40"/>
      <c r="AB974" s="40"/>
    </row>
    <row r="975">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c r="AA975" s="40"/>
      <c r="AB975" s="40"/>
    </row>
    <row r="976">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c r="AA976" s="40"/>
      <c r="AB976" s="40"/>
    </row>
    <row r="977">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c r="AA977" s="40"/>
      <c r="AB977" s="40"/>
    </row>
    <row r="978">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c r="AA978" s="40"/>
      <c r="AB978" s="40"/>
    </row>
    <row r="979">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c r="AA979" s="40"/>
      <c r="AB979" s="40"/>
    </row>
    <row r="980">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c r="AA980" s="40"/>
      <c r="AB980" s="40"/>
    </row>
    <row r="981">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c r="AA981" s="40"/>
      <c r="AB981" s="40"/>
    </row>
    <row r="982">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c r="AA982" s="40"/>
      <c r="AB982" s="40"/>
    </row>
    <row r="983">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c r="AA983" s="40"/>
      <c r="AB983" s="40"/>
    </row>
    <row r="984">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c r="AA984" s="40"/>
      <c r="AB984" s="40"/>
    </row>
    <row r="985">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c r="AA985" s="40"/>
      <c r="AB985" s="40"/>
    </row>
    <row r="986">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c r="AA986" s="40"/>
      <c r="AB986" s="40"/>
    </row>
    <row r="987">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c r="AA987" s="40"/>
      <c r="AB987" s="40"/>
    </row>
    <row r="988">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c r="AA988" s="40"/>
      <c r="AB988" s="40"/>
    </row>
    <row r="989">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c r="AA989" s="40"/>
      <c r="AB989" s="40"/>
    </row>
    <row r="990">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c r="AA990" s="40"/>
      <c r="AB990" s="40"/>
    </row>
    <row r="991">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c r="AA991" s="40"/>
      <c r="AB991" s="40"/>
    </row>
    <row r="992">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c r="AA992" s="40"/>
      <c r="AB992" s="40"/>
    </row>
    <row r="993">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c r="AA993" s="40"/>
      <c r="AB993" s="40"/>
    </row>
    <row r="994">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c r="AA994" s="40"/>
      <c r="AB994" s="40"/>
    </row>
    <row r="995">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c r="AA995" s="40"/>
      <c r="AB995" s="40"/>
    </row>
    <row r="996">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c r="AA996" s="40"/>
      <c r="AB996" s="40"/>
    </row>
    <row r="997">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c r="AA997" s="40"/>
      <c r="AB997" s="40"/>
    </row>
    <row r="998">
      <c r="A998" s="40"/>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c r="AA998" s="40"/>
      <c r="AB998" s="40"/>
    </row>
    <row r="999">
      <c r="A999" s="40"/>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c r="AA999" s="40"/>
      <c r="AB999" s="40"/>
    </row>
    <row r="1000">
      <c r="A1000" s="40"/>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c r="AA1000" s="40"/>
      <c r="AB1000" s="40"/>
    </row>
    <row r="1001">
      <c r="A1001" s="40"/>
      <c r="B1001" s="40"/>
      <c r="C1001" s="40"/>
      <c r="D1001" s="40"/>
      <c r="E1001" s="40"/>
      <c r="F1001" s="40"/>
      <c r="G1001" s="40"/>
      <c r="H1001" s="40"/>
      <c r="I1001" s="40"/>
      <c r="J1001" s="40"/>
      <c r="K1001" s="40"/>
      <c r="L1001" s="40"/>
      <c r="M1001" s="40"/>
      <c r="N1001" s="40"/>
      <c r="O1001" s="40"/>
      <c r="P1001" s="40"/>
      <c r="Q1001" s="40"/>
      <c r="R1001" s="40"/>
      <c r="S1001" s="40"/>
      <c r="T1001" s="40"/>
      <c r="U1001" s="40"/>
      <c r="V1001" s="40"/>
      <c r="W1001" s="40"/>
      <c r="X1001" s="40"/>
      <c r="Y1001" s="40"/>
      <c r="Z1001" s="40"/>
      <c r="AA1001" s="40"/>
      <c r="AB1001" s="40"/>
    </row>
    <row r="1002">
      <c r="A1002" s="40"/>
      <c r="B1002" s="40"/>
      <c r="C1002" s="40"/>
      <c r="D1002" s="40"/>
      <c r="E1002" s="40"/>
      <c r="F1002" s="40"/>
      <c r="G1002" s="40"/>
      <c r="H1002" s="40"/>
      <c r="I1002" s="40"/>
      <c r="J1002" s="40"/>
      <c r="K1002" s="40"/>
      <c r="L1002" s="40"/>
      <c r="M1002" s="40"/>
      <c r="N1002" s="40"/>
      <c r="O1002" s="40"/>
      <c r="P1002" s="40"/>
      <c r="Q1002" s="40"/>
      <c r="R1002" s="40"/>
      <c r="S1002" s="40"/>
      <c r="T1002" s="40"/>
      <c r="U1002" s="40"/>
      <c r="V1002" s="40"/>
      <c r="W1002" s="40"/>
      <c r="X1002" s="40"/>
      <c r="Y1002" s="40"/>
      <c r="Z1002" s="40"/>
      <c r="AA1002" s="40"/>
      <c r="AB1002" s="40"/>
    </row>
    <row r="1003">
      <c r="A1003" s="40"/>
      <c r="B1003" s="40"/>
      <c r="C1003" s="40"/>
      <c r="D1003" s="40"/>
      <c r="E1003" s="40"/>
      <c r="F1003" s="40"/>
      <c r="G1003" s="40"/>
      <c r="H1003" s="40"/>
      <c r="I1003" s="40"/>
      <c r="J1003" s="40"/>
      <c r="K1003" s="40"/>
      <c r="L1003" s="40"/>
      <c r="M1003" s="40"/>
      <c r="N1003" s="40"/>
      <c r="O1003" s="40"/>
      <c r="P1003" s="40"/>
      <c r="Q1003" s="40"/>
      <c r="R1003" s="40"/>
      <c r="S1003" s="40"/>
      <c r="T1003" s="40"/>
      <c r="U1003" s="40"/>
      <c r="V1003" s="40"/>
      <c r="W1003" s="40"/>
      <c r="X1003" s="40"/>
      <c r="Y1003" s="40"/>
      <c r="Z1003" s="40"/>
      <c r="AA1003" s="40"/>
      <c r="AB1003" s="40"/>
    </row>
    <row r="1004">
      <c r="A1004" s="40"/>
      <c r="B1004" s="40"/>
      <c r="C1004" s="40"/>
      <c r="D1004" s="40"/>
      <c r="E1004" s="40"/>
      <c r="F1004" s="40"/>
      <c r="G1004" s="40"/>
      <c r="H1004" s="40"/>
      <c r="I1004" s="40"/>
      <c r="J1004" s="40"/>
      <c r="K1004" s="40"/>
      <c r="L1004" s="40"/>
      <c r="M1004" s="40"/>
      <c r="N1004" s="40"/>
      <c r="O1004" s="40"/>
      <c r="P1004" s="40"/>
      <c r="Q1004" s="40"/>
      <c r="R1004" s="40"/>
      <c r="S1004" s="40"/>
      <c r="T1004" s="40"/>
      <c r="U1004" s="40"/>
      <c r="V1004" s="40"/>
      <c r="W1004" s="40"/>
      <c r="X1004" s="40"/>
      <c r="Y1004" s="40"/>
      <c r="Z1004" s="40"/>
      <c r="AA1004" s="40"/>
      <c r="AB1004" s="40"/>
    </row>
    <row r="1005">
      <c r="A1005" s="40"/>
      <c r="B1005" s="40"/>
      <c r="C1005" s="40"/>
      <c r="D1005" s="40"/>
      <c r="E1005" s="40"/>
      <c r="F1005" s="40"/>
      <c r="G1005" s="40"/>
      <c r="H1005" s="40"/>
      <c r="I1005" s="40"/>
      <c r="J1005" s="40"/>
      <c r="K1005" s="40"/>
      <c r="L1005" s="40"/>
      <c r="M1005" s="40"/>
      <c r="N1005" s="40"/>
      <c r="O1005" s="40"/>
      <c r="P1005" s="40"/>
      <c r="Q1005" s="40"/>
      <c r="R1005" s="40"/>
      <c r="S1005" s="40"/>
      <c r="T1005" s="40"/>
      <c r="U1005" s="40"/>
      <c r="V1005" s="40"/>
      <c r="W1005" s="40"/>
      <c r="X1005" s="40"/>
      <c r="Y1005" s="40"/>
      <c r="Z1005" s="40"/>
      <c r="AA1005" s="40"/>
      <c r="AB1005" s="40"/>
    </row>
    <row r="1006">
      <c r="A1006" s="40"/>
      <c r="B1006" s="40"/>
      <c r="C1006" s="40"/>
      <c r="D1006" s="40"/>
      <c r="E1006" s="40"/>
      <c r="F1006" s="40"/>
      <c r="G1006" s="40"/>
      <c r="H1006" s="40"/>
      <c r="I1006" s="40"/>
      <c r="J1006" s="40"/>
      <c r="K1006" s="40"/>
      <c r="L1006" s="40"/>
      <c r="M1006" s="40"/>
      <c r="N1006" s="40"/>
      <c r="O1006" s="40"/>
      <c r="P1006" s="40"/>
      <c r="Q1006" s="40"/>
      <c r="R1006" s="40"/>
      <c r="S1006" s="40"/>
      <c r="T1006" s="40"/>
      <c r="U1006" s="40"/>
      <c r="V1006" s="40"/>
      <c r="W1006" s="40"/>
      <c r="X1006" s="40"/>
      <c r="Y1006" s="40"/>
      <c r="Z1006" s="40"/>
      <c r="AA1006" s="40"/>
      <c r="AB1006" s="40"/>
    </row>
    <row r="1007">
      <c r="A1007" s="40"/>
      <c r="B1007" s="40"/>
      <c r="C1007" s="40"/>
      <c r="D1007" s="40"/>
      <c r="E1007" s="40"/>
      <c r="F1007" s="40"/>
      <c r="G1007" s="40"/>
      <c r="H1007" s="40"/>
      <c r="I1007" s="40"/>
      <c r="J1007" s="40"/>
      <c r="K1007" s="40"/>
      <c r="L1007" s="40"/>
      <c r="M1007" s="40"/>
      <c r="N1007" s="40"/>
      <c r="O1007" s="40"/>
      <c r="P1007" s="40"/>
      <c r="Q1007" s="40"/>
      <c r="R1007" s="40"/>
      <c r="S1007" s="40"/>
      <c r="T1007" s="40"/>
      <c r="U1007" s="40"/>
      <c r="V1007" s="40"/>
      <c r="W1007" s="40"/>
      <c r="X1007" s="40"/>
      <c r="Y1007" s="40"/>
      <c r="Z1007" s="40"/>
      <c r="AA1007" s="40"/>
      <c r="AB1007" s="40"/>
    </row>
    <row r="1008">
      <c r="A1008" s="40"/>
      <c r="B1008" s="40"/>
      <c r="C1008" s="40"/>
      <c r="D1008" s="40"/>
      <c r="E1008" s="40"/>
      <c r="F1008" s="40"/>
      <c r="G1008" s="40"/>
      <c r="H1008" s="40"/>
      <c r="I1008" s="40"/>
      <c r="J1008" s="40"/>
      <c r="K1008" s="40"/>
      <c r="L1008" s="40"/>
      <c r="M1008" s="40"/>
      <c r="N1008" s="40"/>
      <c r="O1008" s="40"/>
      <c r="P1008" s="40"/>
      <c r="Q1008" s="40"/>
      <c r="R1008" s="40"/>
      <c r="S1008" s="40"/>
      <c r="T1008" s="40"/>
      <c r="U1008" s="40"/>
      <c r="V1008" s="40"/>
      <c r="W1008" s="40"/>
      <c r="X1008" s="40"/>
      <c r="Y1008" s="40"/>
      <c r="Z1008" s="40"/>
      <c r="AA1008" s="40"/>
      <c r="AB1008" s="40"/>
    </row>
    <row r="1009">
      <c r="A1009" s="40"/>
      <c r="B1009" s="40"/>
      <c r="C1009" s="40"/>
      <c r="D1009" s="40"/>
      <c r="E1009" s="40"/>
      <c r="F1009" s="40"/>
      <c r="G1009" s="40"/>
      <c r="H1009" s="40"/>
      <c r="I1009" s="40"/>
      <c r="J1009" s="40"/>
      <c r="K1009" s="40"/>
      <c r="L1009" s="40"/>
      <c r="M1009" s="40"/>
      <c r="N1009" s="40"/>
      <c r="O1009" s="40"/>
      <c r="P1009" s="40"/>
      <c r="Q1009" s="40"/>
      <c r="R1009" s="40"/>
      <c r="S1009" s="40"/>
      <c r="T1009" s="40"/>
      <c r="U1009" s="40"/>
      <c r="V1009" s="40"/>
      <c r="W1009" s="40"/>
      <c r="X1009" s="40"/>
      <c r="Y1009" s="40"/>
      <c r="Z1009" s="40"/>
      <c r="AA1009" s="40"/>
      <c r="AB1009" s="40"/>
    </row>
    <row r="1010">
      <c r="A1010" s="40"/>
      <c r="B1010" s="40"/>
      <c r="C1010" s="40"/>
      <c r="D1010" s="40"/>
      <c r="E1010" s="40"/>
      <c r="F1010" s="40"/>
      <c r="G1010" s="40"/>
      <c r="H1010" s="40"/>
      <c r="I1010" s="40"/>
      <c r="J1010" s="40"/>
      <c r="K1010" s="40"/>
      <c r="L1010" s="40"/>
      <c r="M1010" s="40"/>
      <c r="N1010" s="40"/>
      <c r="O1010" s="40"/>
      <c r="P1010" s="40"/>
      <c r="Q1010" s="40"/>
      <c r="R1010" s="40"/>
      <c r="S1010" s="40"/>
      <c r="T1010" s="40"/>
      <c r="U1010" s="40"/>
      <c r="V1010" s="40"/>
      <c r="W1010" s="40"/>
      <c r="X1010" s="40"/>
      <c r="Y1010" s="40"/>
      <c r="Z1010" s="40"/>
      <c r="AA1010" s="40"/>
      <c r="AB1010" s="40"/>
    </row>
    <row r="1011">
      <c r="A1011" s="40"/>
      <c r="B1011" s="40"/>
      <c r="C1011" s="40"/>
      <c r="D1011" s="40"/>
      <c r="E1011" s="40"/>
      <c r="F1011" s="40"/>
      <c r="G1011" s="40"/>
      <c r="H1011" s="40"/>
      <c r="I1011" s="40"/>
      <c r="J1011" s="40"/>
      <c r="K1011" s="40"/>
      <c r="L1011" s="40"/>
      <c r="M1011" s="40"/>
      <c r="N1011" s="40"/>
      <c r="O1011" s="40"/>
      <c r="P1011" s="40"/>
      <c r="Q1011" s="40"/>
      <c r="R1011" s="40"/>
      <c r="S1011" s="40"/>
      <c r="T1011" s="40"/>
      <c r="U1011" s="40"/>
      <c r="V1011" s="40"/>
      <c r="W1011" s="40"/>
      <c r="X1011" s="40"/>
      <c r="Y1011" s="40"/>
      <c r="Z1011" s="40"/>
      <c r="AA1011" s="40"/>
      <c r="AB1011" s="40"/>
    </row>
    <row r="1012">
      <c r="A1012" s="40"/>
      <c r="B1012" s="40"/>
      <c r="C1012" s="40"/>
      <c r="D1012" s="40"/>
      <c r="E1012" s="40"/>
      <c r="F1012" s="40"/>
      <c r="G1012" s="40"/>
      <c r="H1012" s="40"/>
      <c r="I1012" s="40"/>
      <c r="J1012" s="40"/>
      <c r="K1012" s="40"/>
      <c r="L1012" s="40"/>
      <c r="M1012" s="40"/>
      <c r="N1012" s="40"/>
      <c r="O1012" s="40"/>
      <c r="P1012" s="40"/>
      <c r="Q1012" s="40"/>
      <c r="R1012" s="40"/>
      <c r="S1012" s="40"/>
      <c r="T1012" s="40"/>
      <c r="U1012" s="40"/>
      <c r="V1012" s="40"/>
      <c r="W1012" s="40"/>
      <c r="X1012" s="40"/>
      <c r="Y1012" s="40"/>
      <c r="Z1012" s="40"/>
      <c r="AA1012" s="40"/>
      <c r="AB1012" s="40"/>
    </row>
    <row r="1013">
      <c r="A1013" s="40"/>
      <c r="B1013" s="40"/>
      <c r="C1013" s="40"/>
      <c r="D1013" s="40"/>
      <c r="E1013" s="40"/>
      <c r="F1013" s="40"/>
      <c r="G1013" s="40"/>
      <c r="H1013" s="40"/>
      <c r="I1013" s="40"/>
      <c r="J1013" s="40"/>
      <c r="K1013" s="40"/>
      <c r="L1013" s="40"/>
      <c r="M1013" s="40"/>
      <c r="N1013" s="40"/>
      <c r="O1013" s="40"/>
      <c r="P1013" s="40"/>
      <c r="Q1013" s="40"/>
      <c r="R1013" s="40"/>
      <c r="S1013" s="40"/>
      <c r="T1013" s="40"/>
      <c r="U1013" s="40"/>
      <c r="V1013" s="40"/>
      <c r="W1013" s="40"/>
      <c r="X1013" s="40"/>
      <c r="Y1013" s="40"/>
      <c r="Z1013" s="40"/>
      <c r="AA1013" s="40"/>
      <c r="AB1013" s="40"/>
    </row>
    <row r="1014">
      <c r="A1014" s="40"/>
      <c r="B1014" s="40"/>
      <c r="C1014" s="40"/>
      <c r="D1014" s="40"/>
      <c r="E1014" s="40"/>
      <c r="F1014" s="40"/>
      <c r="G1014" s="40"/>
      <c r="H1014" s="40"/>
      <c r="I1014" s="40"/>
      <c r="J1014" s="40"/>
      <c r="K1014" s="40"/>
      <c r="L1014" s="40"/>
      <c r="M1014" s="40"/>
      <c r="N1014" s="40"/>
      <c r="O1014" s="40"/>
      <c r="P1014" s="40"/>
      <c r="Q1014" s="40"/>
      <c r="R1014" s="40"/>
      <c r="S1014" s="40"/>
      <c r="T1014" s="40"/>
      <c r="U1014" s="40"/>
      <c r="V1014" s="40"/>
      <c r="W1014" s="40"/>
      <c r="X1014" s="40"/>
      <c r="Y1014" s="40"/>
      <c r="Z1014" s="40"/>
      <c r="AA1014" s="40"/>
      <c r="AB1014" s="40"/>
    </row>
    <row r="1015">
      <c r="A1015" s="40"/>
      <c r="B1015" s="40"/>
      <c r="C1015" s="40"/>
      <c r="D1015" s="40"/>
      <c r="E1015" s="40"/>
      <c r="F1015" s="40"/>
      <c r="G1015" s="40"/>
      <c r="H1015" s="40"/>
      <c r="I1015" s="40"/>
      <c r="J1015" s="40"/>
      <c r="K1015" s="40"/>
      <c r="L1015" s="40"/>
      <c r="M1015" s="40"/>
      <c r="N1015" s="40"/>
      <c r="O1015" s="40"/>
      <c r="P1015" s="40"/>
      <c r="Q1015" s="40"/>
      <c r="R1015" s="40"/>
      <c r="S1015" s="40"/>
      <c r="T1015" s="40"/>
      <c r="U1015" s="40"/>
      <c r="V1015" s="40"/>
      <c r="W1015" s="40"/>
      <c r="X1015" s="40"/>
      <c r="Y1015" s="40"/>
      <c r="Z1015" s="40"/>
      <c r="AA1015" s="40"/>
      <c r="AB1015" s="40"/>
    </row>
    <row r="1016">
      <c r="A1016" s="40"/>
      <c r="B1016" s="40"/>
      <c r="C1016" s="40"/>
      <c r="D1016" s="40"/>
      <c r="E1016" s="40"/>
      <c r="F1016" s="40"/>
      <c r="G1016" s="40"/>
      <c r="H1016" s="40"/>
      <c r="I1016" s="40"/>
      <c r="J1016" s="40"/>
      <c r="K1016" s="40"/>
      <c r="L1016" s="40"/>
      <c r="M1016" s="40"/>
      <c r="N1016" s="40"/>
      <c r="O1016" s="40"/>
      <c r="P1016" s="40"/>
      <c r="Q1016" s="40"/>
      <c r="R1016" s="40"/>
      <c r="S1016" s="40"/>
      <c r="T1016" s="40"/>
      <c r="U1016" s="40"/>
      <c r="V1016" s="40"/>
      <c r="W1016" s="40"/>
      <c r="X1016" s="40"/>
      <c r="Y1016" s="40"/>
      <c r="Z1016" s="40"/>
      <c r="AA1016" s="40"/>
      <c r="AB1016" s="40"/>
    </row>
    <row r="1017">
      <c r="A1017" s="40"/>
      <c r="B1017" s="40"/>
      <c r="C1017" s="40"/>
      <c r="D1017" s="40"/>
      <c r="E1017" s="40"/>
      <c r="F1017" s="40"/>
      <c r="G1017" s="40"/>
      <c r="H1017" s="40"/>
      <c r="I1017" s="40"/>
      <c r="J1017" s="40"/>
      <c r="K1017" s="40"/>
      <c r="L1017" s="40"/>
      <c r="M1017" s="40"/>
      <c r="N1017" s="40"/>
      <c r="O1017" s="40"/>
      <c r="P1017" s="40"/>
      <c r="Q1017" s="40"/>
      <c r="R1017" s="40"/>
      <c r="S1017" s="40"/>
      <c r="T1017" s="40"/>
      <c r="U1017" s="40"/>
      <c r="V1017" s="40"/>
      <c r="W1017" s="40"/>
      <c r="X1017" s="40"/>
      <c r="Y1017" s="40"/>
      <c r="Z1017" s="40"/>
      <c r="AA1017" s="40"/>
      <c r="AB1017" s="40"/>
    </row>
    <row r="1018">
      <c r="A1018" s="40"/>
      <c r="B1018" s="40"/>
      <c r="C1018" s="40"/>
      <c r="D1018" s="40"/>
      <c r="E1018" s="40"/>
      <c r="F1018" s="40"/>
      <c r="G1018" s="40"/>
      <c r="H1018" s="40"/>
      <c r="I1018" s="40"/>
      <c r="J1018" s="40"/>
      <c r="K1018" s="40"/>
      <c r="L1018" s="40"/>
      <c r="M1018" s="40"/>
      <c r="N1018" s="40"/>
      <c r="O1018" s="40"/>
      <c r="P1018" s="40"/>
      <c r="Q1018" s="40"/>
      <c r="R1018" s="40"/>
      <c r="S1018" s="40"/>
      <c r="T1018" s="40"/>
      <c r="U1018" s="40"/>
      <c r="V1018" s="40"/>
      <c r="W1018" s="40"/>
      <c r="X1018" s="40"/>
      <c r="Y1018" s="40"/>
      <c r="Z1018" s="40"/>
      <c r="AA1018" s="40"/>
      <c r="AB1018" s="40"/>
    </row>
    <row r="1019">
      <c r="A1019" s="40"/>
      <c r="B1019" s="40"/>
      <c r="C1019" s="40"/>
      <c r="D1019" s="40"/>
      <c r="E1019" s="40"/>
      <c r="F1019" s="40"/>
      <c r="G1019" s="40"/>
      <c r="H1019" s="40"/>
      <c r="I1019" s="40"/>
      <c r="J1019" s="40"/>
      <c r="K1019" s="40"/>
      <c r="L1019" s="40"/>
      <c r="M1019" s="40"/>
      <c r="N1019" s="40"/>
      <c r="O1019" s="40"/>
      <c r="P1019" s="40"/>
      <c r="Q1019" s="40"/>
      <c r="R1019" s="40"/>
      <c r="S1019" s="40"/>
      <c r="T1019" s="40"/>
      <c r="U1019" s="40"/>
      <c r="V1019" s="40"/>
      <c r="W1019" s="40"/>
      <c r="X1019" s="40"/>
      <c r="Y1019" s="40"/>
      <c r="Z1019" s="40"/>
      <c r="AA1019" s="40"/>
      <c r="AB1019" s="40"/>
    </row>
    <row r="1020">
      <c r="A1020" s="40"/>
      <c r="B1020" s="40"/>
      <c r="C1020" s="40"/>
      <c r="D1020" s="40"/>
      <c r="E1020" s="40"/>
      <c r="F1020" s="40"/>
      <c r="G1020" s="40"/>
      <c r="H1020" s="40"/>
      <c r="I1020" s="40"/>
      <c r="J1020" s="40"/>
      <c r="K1020" s="40"/>
      <c r="L1020" s="40"/>
      <c r="M1020" s="40"/>
      <c r="N1020" s="40"/>
      <c r="O1020" s="40"/>
      <c r="P1020" s="40"/>
      <c r="Q1020" s="40"/>
      <c r="R1020" s="40"/>
      <c r="S1020" s="40"/>
      <c r="T1020" s="40"/>
      <c r="U1020" s="40"/>
      <c r="V1020" s="40"/>
      <c r="W1020" s="40"/>
      <c r="X1020" s="40"/>
      <c r="Y1020" s="40"/>
      <c r="Z1020" s="40"/>
      <c r="AA1020" s="40"/>
      <c r="AB1020" s="40"/>
    </row>
    <row r="1021">
      <c r="A1021" s="40"/>
      <c r="B1021" s="40"/>
      <c r="C1021" s="40"/>
      <c r="D1021" s="40"/>
      <c r="E1021" s="40"/>
      <c r="F1021" s="40"/>
      <c r="G1021" s="40"/>
      <c r="H1021" s="40"/>
      <c r="I1021" s="40"/>
      <c r="J1021" s="40"/>
      <c r="K1021" s="40"/>
      <c r="L1021" s="40"/>
      <c r="M1021" s="40"/>
      <c r="N1021" s="40"/>
      <c r="O1021" s="40"/>
      <c r="P1021" s="40"/>
      <c r="Q1021" s="40"/>
      <c r="R1021" s="40"/>
      <c r="S1021" s="40"/>
      <c r="T1021" s="40"/>
      <c r="U1021" s="40"/>
      <c r="V1021" s="40"/>
      <c r="W1021" s="40"/>
      <c r="X1021" s="40"/>
      <c r="Y1021" s="40"/>
      <c r="Z1021" s="40"/>
      <c r="AA1021" s="40"/>
      <c r="AB1021" s="40"/>
    </row>
  </sheetData>
  <mergeCells count="5">
    <mergeCell ref="K3:Q21"/>
    <mergeCell ref="K24:Q37"/>
    <mergeCell ref="K41:Q54"/>
    <mergeCell ref="K58:Q71"/>
    <mergeCell ref="K121:Q134"/>
  </mergeCells>
  <conditionalFormatting sqref="B162:I162">
    <cfRule type="cellIs" dxfId="0" priority="1" operator="greaterThanOrEqual">
      <formula>"7%"</formula>
    </cfRule>
  </conditionalFormatting>
  <conditionalFormatting sqref="B162:I162">
    <cfRule type="cellIs" dxfId="1" priority="2" operator="lessThan">
      <formula>"7%"</formula>
    </cfRule>
  </conditionalFormatting>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29.13"/>
    <col customWidth="1" min="2" max="2" width="19.38"/>
    <col customWidth="1" min="3" max="3" width="18.38"/>
    <col customWidth="1" min="4" max="4" width="18.13"/>
    <col customWidth="1" min="5" max="6" width="16.13"/>
    <col customWidth="1" min="7" max="7" width="15.25"/>
    <col customWidth="1" min="8" max="8" width="13.13"/>
    <col customWidth="1" min="9" max="9" width="15.13"/>
  </cols>
  <sheetData>
    <row r="1">
      <c r="A1" s="39" t="s">
        <v>0</v>
      </c>
      <c r="B1" s="39">
        <v>1490.0</v>
      </c>
      <c r="C1" s="40"/>
      <c r="D1" s="40"/>
      <c r="E1" s="40"/>
      <c r="F1" s="41" t="s">
        <v>36</v>
      </c>
      <c r="G1" s="41">
        <v>29.0</v>
      </c>
      <c r="H1" s="41" t="s">
        <v>37</v>
      </c>
      <c r="I1" s="42">
        <f>G1/30</f>
        <v>0.9666666667</v>
      </c>
      <c r="J1" s="40"/>
      <c r="K1" s="40"/>
      <c r="L1" s="40"/>
      <c r="M1" s="40"/>
      <c r="N1" s="40"/>
      <c r="O1" s="40"/>
      <c r="P1" s="40"/>
      <c r="Q1" s="40"/>
      <c r="R1" s="40"/>
      <c r="S1" s="40"/>
      <c r="T1" s="40"/>
      <c r="U1" s="40"/>
      <c r="V1" s="40"/>
      <c r="W1" s="40"/>
      <c r="X1" s="40"/>
      <c r="Y1" s="40"/>
      <c r="Z1" s="40"/>
      <c r="AA1" s="40"/>
      <c r="AB1" s="40"/>
    </row>
    <row r="2">
      <c r="A2" s="43" t="s">
        <v>1</v>
      </c>
      <c r="B2" s="40"/>
      <c r="C2" s="40"/>
      <c r="D2" s="40"/>
      <c r="E2" s="40"/>
      <c r="F2" s="40"/>
      <c r="G2" s="40"/>
      <c r="H2" s="40"/>
      <c r="I2" s="40"/>
      <c r="J2" s="40"/>
      <c r="K2" s="40"/>
      <c r="L2" s="40"/>
      <c r="M2" s="40"/>
      <c r="N2" s="40"/>
      <c r="O2" s="40"/>
      <c r="P2" s="40"/>
      <c r="Q2" s="40"/>
      <c r="R2" s="40"/>
      <c r="S2" s="40"/>
      <c r="T2" s="40"/>
      <c r="U2" s="40"/>
      <c r="V2" s="40"/>
      <c r="W2" s="40"/>
      <c r="X2" s="40"/>
      <c r="Y2" s="40"/>
      <c r="Z2" s="40"/>
      <c r="AA2" s="40"/>
      <c r="AB2" s="40"/>
    </row>
    <row r="3">
      <c r="A3" s="7" t="s">
        <v>3</v>
      </c>
      <c r="B3" s="44" t="s">
        <v>81</v>
      </c>
      <c r="C3" s="44" t="s">
        <v>82</v>
      </c>
      <c r="D3" s="44" t="s">
        <v>83</v>
      </c>
      <c r="E3" s="44" t="s">
        <v>84</v>
      </c>
      <c r="F3" s="44" t="s">
        <v>85</v>
      </c>
      <c r="G3" s="44" t="s">
        <v>43</v>
      </c>
      <c r="H3" s="45" t="s">
        <v>17</v>
      </c>
      <c r="I3" s="46" t="s">
        <v>44</v>
      </c>
      <c r="J3" s="47" t="s">
        <v>45</v>
      </c>
      <c r="K3" s="48" t="s">
        <v>46</v>
      </c>
      <c r="L3" s="49"/>
      <c r="M3" s="49"/>
      <c r="N3" s="49"/>
      <c r="O3" s="49"/>
      <c r="P3" s="49"/>
      <c r="Q3" s="50"/>
      <c r="R3" s="40"/>
      <c r="S3" s="40"/>
      <c r="T3" s="40"/>
      <c r="U3" s="40"/>
      <c r="V3" s="40"/>
      <c r="W3" s="40"/>
      <c r="X3" s="40"/>
      <c r="Y3" s="40"/>
      <c r="Z3" s="40"/>
      <c r="AA3" s="40"/>
      <c r="AB3" s="40"/>
    </row>
    <row r="4">
      <c r="A4" s="51" t="s">
        <v>19</v>
      </c>
      <c r="B4" s="67">
        <v>803321.0</v>
      </c>
      <c r="C4" s="67">
        <v>1910590.0</v>
      </c>
      <c r="D4" s="67">
        <v>2312526.0</v>
      </c>
      <c r="E4" s="67">
        <f>2189139+252580</f>
        <v>2441719</v>
      </c>
      <c r="F4" s="67">
        <f>1804914+170828</f>
        <v>1975742</v>
      </c>
      <c r="G4" s="77">
        <f t="shared" ref="G4:G6" si="2">SUM(B4:F4)</f>
        <v>9443898</v>
      </c>
      <c r="H4" s="54">
        <v>8850000.0</v>
      </c>
      <c r="I4" s="55">
        <f t="shared" ref="I4:I6" si="3">G4/H4</f>
        <v>1.067107119</v>
      </c>
      <c r="J4" s="56">
        <f>$G4/$G$1*30</f>
        <v>9769549.655</v>
      </c>
      <c r="K4" s="57"/>
      <c r="Q4" s="58"/>
      <c r="R4" s="40"/>
      <c r="S4" s="40"/>
      <c r="T4" s="40"/>
      <c r="U4" s="40"/>
      <c r="V4" s="40"/>
      <c r="W4" s="40"/>
      <c r="X4" s="40"/>
      <c r="Y4" s="40"/>
      <c r="Z4" s="40"/>
      <c r="AA4" s="40"/>
      <c r="AB4" s="40"/>
    </row>
    <row r="5">
      <c r="A5" s="51" t="s">
        <v>20</v>
      </c>
      <c r="B5" s="59">
        <f t="shared" ref="B5:F5" si="1">B4/$B$1</f>
        <v>539.1416107</v>
      </c>
      <c r="C5" s="59">
        <f t="shared" si="1"/>
        <v>1282.275168</v>
      </c>
      <c r="D5" s="59">
        <f t="shared" si="1"/>
        <v>1552.030872</v>
      </c>
      <c r="E5" s="59">
        <f t="shared" si="1"/>
        <v>1638.737584</v>
      </c>
      <c r="F5" s="59">
        <f t="shared" si="1"/>
        <v>1326.001342</v>
      </c>
      <c r="G5" s="60">
        <f t="shared" si="2"/>
        <v>6338.186577</v>
      </c>
      <c r="H5" s="61">
        <f>H4/$B$1</f>
        <v>5939.597315</v>
      </c>
      <c r="I5" s="55">
        <f t="shared" si="3"/>
        <v>1.067107119</v>
      </c>
      <c r="J5" s="62">
        <f>J4/$B$1</f>
        <v>6556.744735</v>
      </c>
      <c r="K5" s="57"/>
      <c r="Q5" s="58"/>
      <c r="R5" s="40"/>
      <c r="S5" s="40"/>
      <c r="T5" s="40"/>
      <c r="U5" s="40"/>
      <c r="V5" s="40"/>
      <c r="W5" s="40"/>
      <c r="X5" s="40"/>
      <c r="Y5" s="40"/>
      <c r="Z5" s="40"/>
      <c r="AA5" s="40"/>
      <c r="AB5" s="40"/>
    </row>
    <row r="6">
      <c r="A6" s="51" t="s">
        <v>21</v>
      </c>
      <c r="B6" s="63">
        <v>280.0</v>
      </c>
      <c r="C6" s="63">
        <v>600.0</v>
      </c>
      <c r="D6" s="63">
        <v>662.0</v>
      </c>
      <c r="E6" s="63">
        <v>530.0</v>
      </c>
      <c r="F6" s="63">
        <v>493.0</v>
      </c>
      <c r="G6" s="64">
        <f t="shared" si="2"/>
        <v>2565</v>
      </c>
      <c r="H6" s="65">
        <v>2008.0</v>
      </c>
      <c r="I6" s="55">
        <f t="shared" si="3"/>
        <v>1.277390438</v>
      </c>
      <c r="J6" s="66">
        <f>$G6/$G$1*30</f>
        <v>2653.448276</v>
      </c>
      <c r="K6" s="57"/>
      <c r="Q6" s="58"/>
      <c r="R6" s="40"/>
      <c r="S6" s="40"/>
      <c r="T6" s="40"/>
      <c r="U6" s="40"/>
      <c r="V6" s="40"/>
      <c r="W6" s="40"/>
      <c r="X6" s="40"/>
      <c r="Y6" s="40"/>
      <c r="Z6" s="40"/>
      <c r="AA6" s="40"/>
      <c r="AB6" s="40"/>
    </row>
    <row r="7">
      <c r="A7" s="51" t="s">
        <v>22</v>
      </c>
      <c r="B7" s="67">
        <f t="shared" ref="B7:F7" si="4">B4/B6</f>
        <v>2869.003571</v>
      </c>
      <c r="C7" s="90">
        <f t="shared" si="4"/>
        <v>3184.316667</v>
      </c>
      <c r="D7" s="90">
        <f t="shared" si="4"/>
        <v>3493.241692</v>
      </c>
      <c r="E7" s="90">
        <f t="shared" si="4"/>
        <v>4607.016981</v>
      </c>
      <c r="F7" s="90">
        <f t="shared" si="4"/>
        <v>4007.590264</v>
      </c>
      <c r="G7" s="77">
        <f>G4/$G$6</f>
        <v>3681.831579</v>
      </c>
      <c r="H7" s="54">
        <f>H4/H6</f>
        <v>4407.370518</v>
      </c>
      <c r="I7" s="55">
        <f>H7/G7-1</f>
        <v>0.1970592417</v>
      </c>
      <c r="J7" s="56">
        <f>J4/J6</f>
        <v>3681.831579</v>
      </c>
      <c r="K7" s="57"/>
      <c r="Q7" s="58"/>
      <c r="R7" s="40"/>
      <c r="S7" s="40"/>
      <c r="T7" s="40"/>
      <c r="U7" s="40"/>
      <c r="V7" s="40"/>
      <c r="W7" s="40"/>
      <c r="X7" s="40"/>
      <c r="Y7" s="40"/>
      <c r="Z7" s="40"/>
      <c r="AA7" s="40"/>
      <c r="AB7" s="40"/>
    </row>
    <row r="8">
      <c r="A8" s="51" t="s">
        <v>23</v>
      </c>
      <c r="B8" s="59">
        <f t="shared" ref="B8:F8" si="5">B7/$B$1</f>
        <v>1.925505753</v>
      </c>
      <c r="C8" s="59">
        <f t="shared" si="5"/>
        <v>2.13712528</v>
      </c>
      <c r="D8" s="59">
        <f t="shared" si="5"/>
        <v>2.344457511</v>
      </c>
      <c r="E8" s="59">
        <f t="shared" si="5"/>
        <v>3.091957705</v>
      </c>
      <c r="F8" s="59">
        <f t="shared" si="5"/>
        <v>2.689657895</v>
      </c>
      <c r="G8" s="60">
        <f t="shared" ref="G8:H8" si="6">G5/G$6</f>
        <v>2.471027905</v>
      </c>
      <c r="H8" s="61">
        <f t="shared" si="6"/>
        <v>2.957966791</v>
      </c>
      <c r="I8" s="55"/>
      <c r="J8" s="66"/>
      <c r="K8" s="57"/>
      <c r="Q8" s="58"/>
      <c r="R8" s="40"/>
      <c r="S8" s="40"/>
      <c r="T8" s="40"/>
      <c r="U8" s="40"/>
      <c r="V8" s="40"/>
      <c r="W8" s="40"/>
      <c r="X8" s="40"/>
      <c r="Y8" s="40"/>
      <c r="Z8" s="40"/>
      <c r="AA8" s="40"/>
      <c r="AB8" s="40"/>
    </row>
    <row r="9">
      <c r="A9" s="51" t="s">
        <v>47</v>
      </c>
      <c r="B9" s="63">
        <v>11.0</v>
      </c>
      <c r="C9" s="63">
        <v>33.0</v>
      </c>
      <c r="D9" s="63">
        <v>52.0</v>
      </c>
      <c r="E9" s="63">
        <v>31.0</v>
      </c>
      <c r="F9" s="63">
        <v>34.0</v>
      </c>
      <c r="G9" s="64">
        <f t="shared" ref="G9:G10" si="7">SUM(B9:F9)</f>
        <v>161</v>
      </c>
      <c r="H9" s="65">
        <v>160.0</v>
      </c>
      <c r="I9" s="55">
        <f>G9/H9</f>
        <v>1.00625</v>
      </c>
      <c r="J9" s="66">
        <f>$G9/$G$1*30</f>
        <v>166.5517241</v>
      </c>
      <c r="K9" s="57"/>
      <c r="Q9" s="58"/>
      <c r="R9" s="40"/>
      <c r="S9" s="40"/>
      <c r="T9" s="40"/>
      <c r="U9" s="40"/>
      <c r="V9" s="40"/>
      <c r="W9" s="40"/>
      <c r="X9" s="40"/>
      <c r="Y9" s="40"/>
      <c r="Z9" s="40"/>
      <c r="AA9" s="40"/>
      <c r="AB9" s="40"/>
    </row>
    <row r="10">
      <c r="A10" s="51" t="s">
        <v>48</v>
      </c>
      <c r="B10" s="63">
        <v>10.0</v>
      </c>
      <c r="C10" s="63">
        <v>26.0</v>
      </c>
      <c r="D10" s="63">
        <v>37.0</v>
      </c>
      <c r="E10" s="63">
        <v>20.0</v>
      </c>
      <c r="F10" s="63">
        <v>14.0</v>
      </c>
      <c r="G10" s="64">
        <f t="shared" si="7"/>
        <v>107</v>
      </c>
      <c r="H10" s="70"/>
      <c r="I10" s="55"/>
      <c r="J10" s="71"/>
      <c r="K10" s="57"/>
      <c r="Q10" s="58"/>
      <c r="R10" s="40"/>
      <c r="S10" s="40"/>
      <c r="T10" s="40"/>
      <c r="U10" s="40"/>
      <c r="V10" s="40"/>
      <c r="W10" s="40"/>
      <c r="X10" s="40"/>
      <c r="Y10" s="40"/>
      <c r="Z10" s="40"/>
      <c r="AA10" s="40"/>
      <c r="AB10" s="40"/>
    </row>
    <row r="11">
      <c r="A11" s="51" t="s">
        <v>25</v>
      </c>
      <c r="B11" s="90">
        <f t="shared" ref="B11:F11" si="8">B4/B9</f>
        <v>73029.18182</v>
      </c>
      <c r="C11" s="90">
        <f t="shared" si="8"/>
        <v>57896.66667</v>
      </c>
      <c r="D11" s="90">
        <f t="shared" si="8"/>
        <v>44471.65385</v>
      </c>
      <c r="E11" s="90">
        <f t="shared" si="8"/>
        <v>78765.12903</v>
      </c>
      <c r="F11" s="90">
        <f t="shared" si="8"/>
        <v>58110.05882</v>
      </c>
      <c r="G11" s="77">
        <f t="shared" ref="G11:G12" si="10">G4/G$9</f>
        <v>58657.75155</v>
      </c>
      <c r="H11" s="70">
        <f>H4/H9</f>
        <v>55312.5</v>
      </c>
      <c r="I11" s="55"/>
      <c r="J11" s="71">
        <f>J4/J9</f>
        <v>58657.75155</v>
      </c>
      <c r="K11" s="57"/>
      <c r="Q11" s="58"/>
      <c r="R11" s="40"/>
      <c r="S11" s="40"/>
      <c r="T11" s="40"/>
      <c r="U11" s="40"/>
      <c r="V11" s="40"/>
      <c r="W11" s="40"/>
      <c r="X11" s="40"/>
      <c r="Y11" s="40"/>
      <c r="Z11" s="40"/>
      <c r="AA11" s="40"/>
      <c r="AB11" s="40"/>
    </row>
    <row r="12">
      <c r="A12" s="51" t="s">
        <v>26</v>
      </c>
      <c r="B12" s="59">
        <f t="shared" ref="B12:F12" si="9">B11/$B$1</f>
        <v>49.0128737</v>
      </c>
      <c r="C12" s="59">
        <f t="shared" si="9"/>
        <v>38.85682327</v>
      </c>
      <c r="D12" s="59">
        <f t="shared" si="9"/>
        <v>29.84674755</v>
      </c>
      <c r="E12" s="59">
        <f t="shared" si="9"/>
        <v>52.86250271</v>
      </c>
      <c r="F12" s="59">
        <f t="shared" si="9"/>
        <v>39.00003948</v>
      </c>
      <c r="G12" s="60">
        <f t="shared" si="10"/>
        <v>39.36761849</v>
      </c>
      <c r="H12" s="61">
        <f>H5/H$9</f>
        <v>37.12248322</v>
      </c>
      <c r="I12" s="72"/>
      <c r="J12" s="73"/>
      <c r="K12" s="57"/>
      <c r="Q12" s="58"/>
      <c r="R12" s="40"/>
      <c r="S12" s="40"/>
      <c r="T12" s="40"/>
      <c r="U12" s="40"/>
      <c r="V12" s="40"/>
      <c r="W12" s="40"/>
      <c r="X12" s="40"/>
      <c r="Y12" s="40"/>
      <c r="Z12" s="40"/>
      <c r="AA12" s="40"/>
      <c r="AB12" s="40"/>
    </row>
    <row r="13">
      <c r="A13" s="51" t="s">
        <v>27</v>
      </c>
      <c r="B13" s="74">
        <f t="shared" ref="B13:H13" si="11">B9/B6</f>
        <v>0.03928571429</v>
      </c>
      <c r="C13" s="74">
        <f t="shared" si="11"/>
        <v>0.055</v>
      </c>
      <c r="D13" s="74">
        <f t="shared" si="11"/>
        <v>0.07854984894</v>
      </c>
      <c r="E13" s="74">
        <f t="shared" si="11"/>
        <v>0.05849056604</v>
      </c>
      <c r="F13" s="74">
        <f t="shared" si="11"/>
        <v>0.06896551724</v>
      </c>
      <c r="G13" s="75">
        <f t="shared" si="11"/>
        <v>0.06276803119</v>
      </c>
      <c r="H13" s="76">
        <f t="shared" si="11"/>
        <v>0.0796812749</v>
      </c>
      <c r="I13" s="72"/>
      <c r="J13" s="73">
        <f>J9/J6</f>
        <v>0.06276803119</v>
      </c>
      <c r="K13" s="57"/>
      <c r="Q13" s="58"/>
      <c r="R13" s="40"/>
      <c r="S13" s="40"/>
      <c r="T13" s="40"/>
      <c r="U13" s="40"/>
      <c r="V13" s="40"/>
      <c r="W13" s="40"/>
      <c r="X13" s="40"/>
      <c r="Y13" s="40"/>
      <c r="Z13" s="40"/>
      <c r="AA13" s="40"/>
      <c r="AB13" s="40"/>
    </row>
    <row r="14">
      <c r="A14" s="51" t="s">
        <v>49</v>
      </c>
      <c r="B14" s="63">
        <v>0.0</v>
      </c>
      <c r="C14" s="63">
        <v>2.0</v>
      </c>
      <c r="D14" s="63">
        <v>10.0</v>
      </c>
      <c r="E14" s="63">
        <v>6.0</v>
      </c>
      <c r="F14" s="63">
        <v>5.0</v>
      </c>
      <c r="G14" s="64">
        <f>SUM(B14:F14)</f>
        <v>23</v>
      </c>
      <c r="H14" s="76"/>
      <c r="I14" s="72"/>
      <c r="J14" s="73"/>
      <c r="K14" s="57"/>
      <c r="Q14" s="58"/>
      <c r="R14" s="40"/>
      <c r="S14" s="40"/>
      <c r="T14" s="40"/>
      <c r="U14" s="40"/>
      <c r="V14" s="40"/>
      <c r="W14" s="40"/>
      <c r="X14" s="40"/>
      <c r="Y14" s="40"/>
      <c r="Z14" s="40"/>
      <c r="AA14" s="40"/>
      <c r="AB14" s="40"/>
    </row>
    <row r="15">
      <c r="A15" s="51" t="s">
        <v>50</v>
      </c>
      <c r="B15" s="63" t="str">
        <f t="shared" ref="B15:G15" si="12">B4/B14</f>
        <v>#DIV/0!</v>
      </c>
      <c r="C15" s="67">
        <f t="shared" si="12"/>
        <v>955295</v>
      </c>
      <c r="D15" s="67">
        <f t="shared" si="12"/>
        <v>231252.6</v>
      </c>
      <c r="E15" s="67">
        <f t="shared" si="12"/>
        <v>406953.1667</v>
      </c>
      <c r="F15" s="67">
        <f t="shared" si="12"/>
        <v>395148.4</v>
      </c>
      <c r="G15" s="77">
        <f t="shared" si="12"/>
        <v>410604.2609</v>
      </c>
      <c r="H15" s="76"/>
      <c r="I15" s="72"/>
      <c r="J15" s="73"/>
      <c r="K15" s="57"/>
      <c r="Q15" s="58"/>
      <c r="R15" s="40"/>
      <c r="S15" s="40"/>
      <c r="T15" s="40"/>
      <c r="U15" s="40"/>
      <c r="V15" s="40"/>
      <c r="W15" s="40"/>
      <c r="X15" s="40"/>
      <c r="Y15" s="40"/>
      <c r="Z15" s="40"/>
      <c r="AA15" s="40"/>
      <c r="AB15" s="40"/>
    </row>
    <row r="16">
      <c r="A16" s="51" t="s">
        <v>51</v>
      </c>
      <c r="B16" s="59" t="str">
        <f t="shared" ref="B16:G16" si="13">B15/$B$1</f>
        <v>#DIV/0!</v>
      </c>
      <c r="C16" s="59">
        <f t="shared" si="13"/>
        <v>641.1375839</v>
      </c>
      <c r="D16" s="59">
        <f t="shared" si="13"/>
        <v>155.2030872</v>
      </c>
      <c r="E16" s="59">
        <f t="shared" si="13"/>
        <v>273.1229306</v>
      </c>
      <c r="F16" s="59">
        <f t="shared" si="13"/>
        <v>265.2002685</v>
      </c>
      <c r="G16" s="60">
        <f t="shared" si="13"/>
        <v>275.5733294</v>
      </c>
      <c r="H16" s="76"/>
      <c r="I16" s="72"/>
      <c r="J16" s="73"/>
      <c r="K16" s="57"/>
      <c r="Q16" s="58"/>
      <c r="R16" s="40"/>
      <c r="S16" s="40"/>
      <c r="T16" s="40"/>
      <c r="U16" s="40"/>
      <c r="V16" s="40"/>
      <c r="W16" s="40"/>
      <c r="X16" s="40"/>
      <c r="Y16" s="40"/>
      <c r="Z16" s="40"/>
      <c r="AA16" s="40"/>
      <c r="AB16" s="40"/>
    </row>
    <row r="17">
      <c r="A17" s="51" t="s">
        <v>52</v>
      </c>
      <c r="B17" s="74">
        <f t="shared" ref="B17:G17" si="14">B14/B6</f>
        <v>0</v>
      </c>
      <c r="C17" s="74">
        <f t="shared" si="14"/>
        <v>0.003333333333</v>
      </c>
      <c r="D17" s="74">
        <f t="shared" si="14"/>
        <v>0.01510574018</v>
      </c>
      <c r="E17" s="74">
        <f t="shared" si="14"/>
        <v>0.01132075472</v>
      </c>
      <c r="F17" s="74">
        <f t="shared" si="14"/>
        <v>0.01014198783</v>
      </c>
      <c r="G17" s="75">
        <f t="shared" si="14"/>
        <v>0.008966861598</v>
      </c>
      <c r="H17" s="76"/>
      <c r="I17" s="72"/>
      <c r="J17" s="73"/>
      <c r="K17" s="57"/>
      <c r="Q17" s="58"/>
      <c r="R17" s="40"/>
      <c r="S17" s="40"/>
      <c r="T17" s="40"/>
      <c r="U17" s="40"/>
      <c r="V17" s="40"/>
      <c r="W17" s="40"/>
      <c r="X17" s="40"/>
      <c r="Y17" s="40"/>
      <c r="Z17" s="40"/>
      <c r="AA17" s="40"/>
      <c r="AB17" s="40"/>
    </row>
    <row r="18">
      <c r="A18" s="51" t="s">
        <v>28</v>
      </c>
      <c r="B18" s="63"/>
      <c r="C18" s="63">
        <v>1.0</v>
      </c>
      <c r="D18" s="63">
        <v>2.0</v>
      </c>
      <c r="E18" s="63">
        <v>1.0</v>
      </c>
      <c r="F18" s="63">
        <v>1.0</v>
      </c>
      <c r="G18" s="64">
        <f>SUM(B18:F18)</f>
        <v>5</v>
      </c>
      <c r="H18" s="78"/>
      <c r="I18" s="72"/>
      <c r="J18" s="79">
        <f>$G18/$G$1*30</f>
        <v>5.172413793</v>
      </c>
      <c r="K18" s="57"/>
      <c r="Q18" s="58"/>
      <c r="R18" s="40"/>
      <c r="S18" s="40"/>
      <c r="T18" s="40"/>
      <c r="U18" s="40"/>
      <c r="V18" s="40"/>
      <c r="W18" s="40"/>
      <c r="X18" s="40"/>
      <c r="Y18" s="40"/>
      <c r="Z18" s="40"/>
      <c r="AA18" s="40"/>
      <c r="AB18" s="40"/>
    </row>
    <row r="19">
      <c r="A19" s="51" t="s">
        <v>53</v>
      </c>
      <c r="B19" s="69" t="str">
        <f>B5/B18</f>
        <v>#DIV/0!</v>
      </c>
      <c r="C19" s="90">
        <f t="shared" ref="C19:F19" si="15">C4/C18</f>
        <v>1910590</v>
      </c>
      <c r="D19" s="90">
        <f t="shared" si="15"/>
        <v>1156263</v>
      </c>
      <c r="E19" s="90">
        <f t="shared" si="15"/>
        <v>2441719</v>
      </c>
      <c r="F19" s="90">
        <f t="shared" si="15"/>
        <v>1975742</v>
      </c>
      <c r="G19" s="77">
        <f t="shared" ref="G19:G20" si="17">G4/G$18</f>
        <v>1888779.6</v>
      </c>
      <c r="H19" s="78"/>
      <c r="I19" s="72"/>
      <c r="J19" s="71">
        <f>J4/J18</f>
        <v>1888779.6</v>
      </c>
      <c r="K19" s="57"/>
      <c r="Q19" s="58"/>
      <c r="R19" s="40"/>
      <c r="S19" s="40"/>
      <c r="T19" s="40"/>
      <c r="U19" s="40"/>
      <c r="V19" s="40"/>
      <c r="W19" s="40"/>
      <c r="X19" s="40"/>
      <c r="Y19" s="40"/>
      <c r="Z19" s="40"/>
      <c r="AA19" s="40"/>
      <c r="AB19" s="40"/>
    </row>
    <row r="20">
      <c r="A20" s="51" t="s">
        <v>30</v>
      </c>
      <c r="B20" s="59" t="str">
        <f t="shared" ref="B20:F20" si="16">B19/$B$1</f>
        <v>#DIV/0!</v>
      </c>
      <c r="C20" s="59">
        <f t="shared" si="16"/>
        <v>1282.275168</v>
      </c>
      <c r="D20" s="59">
        <f t="shared" si="16"/>
        <v>776.0154362</v>
      </c>
      <c r="E20" s="59">
        <f t="shared" si="16"/>
        <v>1638.737584</v>
      </c>
      <c r="F20" s="59">
        <f t="shared" si="16"/>
        <v>1326.001342</v>
      </c>
      <c r="G20" s="60">
        <f t="shared" si="17"/>
        <v>1267.637315</v>
      </c>
      <c r="H20" s="78"/>
      <c r="I20" s="72"/>
      <c r="J20" s="80"/>
      <c r="K20" s="57"/>
      <c r="Q20" s="58"/>
      <c r="R20" s="40"/>
      <c r="S20" s="40"/>
      <c r="T20" s="40"/>
      <c r="U20" s="40"/>
      <c r="V20" s="40"/>
      <c r="W20" s="40"/>
      <c r="X20" s="40"/>
      <c r="Y20" s="40"/>
      <c r="Z20" s="40"/>
      <c r="AA20" s="40"/>
      <c r="AB20" s="40"/>
    </row>
    <row r="21">
      <c r="A21" s="51" t="s">
        <v>32</v>
      </c>
      <c r="B21" s="74">
        <f t="shared" ref="B21:G21" si="18">B18/B6</f>
        <v>0</v>
      </c>
      <c r="C21" s="74">
        <f t="shared" si="18"/>
        <v>0.001666666667</v>
      </c>
      <c r="D21" s="74">
        <f t="shared" si="18"/>
        <v>0.003021148036</v>
      </c>
      <c r="E21" s="74">
        <f t="shared" si="18"/>
        <v>0.001886792453</v>
      </c>
      <c r="F21" s="74">
        <f t="shared" si="18"/>
        <v>0.002028397566</v>
      </c>
      <c r="G21" s="75">
        <f t="shared" si="18"/>
        <v>0.001949317739</v>
      </c>
      <c r="H21" s="78"/>
      <c r="I21" s="72"/>
      <c r="J21" s="80">
        <f>J18/J6</f>
        <v>0.001949317739</v>
      </c>
      <c r="K21" s="81"/>
      <c r="L21" s="82"/>
      <c r="M21" s="82"/>
      <c r="N21" s="82"/>
      <c r="O21" s="82"/>
      <c r="P21" s="82"/>
      <c r="Q21" s="83"/>
      <c r="R21" s="40"/>
      <c r="S21" s="40"/>
      <c r="T21" s="40"/>
      <c r="U21" s="40"/>
      <c r="V21" s="40"/>
      <c r="W21" s="40"/>
      <c r="X21" s="40"/>
      <c r="Y21" s="40"/>
      <c r="Z21" s="40"/>
      <c r="AA21" s="40"/>
      <c r="AB21" s="40"/>
    </row>
    <row r="22">
      <c r="A22" s="40"/>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row>
    <row r="23">
      <c r="A23" s="84" t="s">
        <v>54</v>
      </c>
      <c r="B23" s="40"/>
      <c r="C23" s="40"/>
      <c r="D23" s="40"/>
      <c r="E23" s="40"/>
      <c r="F23" s="40"/>
      <c r="G23" s="40"/>
      <c r="H23" s="40"/>
      <c r="I23" s="40"/>
      <c r="J23" s="40"/>
      <c r="K23" s="40"/>
      <c r="L23" s="40"/>
      <c r="M23" s="40"/>
      <c r="N23" s="40"/>
      <c r="O23" s="40"/>
      <c r="P23" s="40"/>
      <c r="Q23" s="40"/>
      <c r="R23" s="40"/>
      <c r="S23" s="40"/>
      <c r="T23" s="40"/>
      <c r="U23" s="40"/>
      <c r="V23" s="40"/>
      <c r="W23" s="40"/>
      <c r="X23" s="40"/>
      <c r="Y23" s="40"/>
      <c r="Z23" s="40"/>
      <c r="AA23" s="40"/>
      <c r="AB23" s="40"/>
    </row>
    <row r="24">
      <c r="A24" s="7" t="s">
        <v>3</v>
      </c>
      <c r="B24" s="44" t="str">
        <f t="shared" ref="B24:F24" si="19">B3</f>
        <v>01/12 al 02/12</v>
      </c>
      <c r="C24" s="44" t="str">
        <f t="shared" si="19"/>
        <v>03/12 al 09/12</v>
      </c>
      <c r="D24" s="44" t="str">
        <f t="shared" si="19"/>
        <v>10/12 al 16/12</v>
      </c>
      <c r="E24" s="44" t="str">
        <f t="shared" si="19"/>
        <v>17/12 al 23/12</v>
      </c>
      <c r="F24" s="44" t="str">
        <f t="shared" si="19"/>
        <v>24/12 al 31/12</v>
      </c>
      <c r="G24" s="44" t="s">
        <v>43</v>
      </c>
      <c r="H24" s="45" t="s">
        <v>17</v>
      </c>
      <c r="I24" s="47" t="s">
        <v>45</v>
      </c>
      <c r="J24" s="40"/>
      <c r="K24" s="48"/>
      <c r="L24" s="49"/>
      <c r="M24" s="49"/>
      <c r="N24" s="49"/>
      <c r="O24" s="49"/>
      <c r="P24" s="49"/>
      <c r="Q24" s="50"/>
      <c r="R24" s="40"/>
      <c r="S24" s="40"/>
      <c r="T24" s="40"/>
      <c r="U24" s="40"/>
      <c r="V24" s="40"/>
      <c r="W24" s="40"/>
      <c r="X24" s="40"/>
      <c r="Y24" s="40"/>
      <c r="Z24" s="40"/>
      <c r="AA24" s="40"/>
      <c r="AB24" s="40"/>
    </row>
    <row r="25">
      <c r="A25" s="51" t="s">
        <v>19</v>
      </c>
      <c r="B25" s="67">
        <f>85289+71155</f>
        <v>156444</v>
      </c>
      <c r="C25" s="67">
        <f>9283+418792</f>
        <v>428075</v>
      </c>
      <c r="D25" s="67">
        <f>115390+25741+421101</f>
        <v>562232</v>
      </c>
      <c r="E25" s="67">
        <f>115531+25741+421161</f>
        <v>562433</v>
      </c>
      <c r="F25" s="67">
        <f>57981+350461</f>
        <v>408442</v>
      </c>
      <c r="G25" s="77">
        <f t="shared" ref="G25:G27" si="21">SUM(B25:F25)</f>
        <v>2117626</v>
      </c>
      <c r="H25" s="85">
        <f>B169</f>
        <v>2100000</v>
      </c>
      <c r="I25" s="56">
        <f>$G25/$G$1*30</f>
        <v>2190647.586</v>
      </c>
      <c r="J25" s="86">
        <f>(H25-G25)/15</f>
        <v>-1175.066667</v>
      </c>
      <c r="K25" s="57"/>
      <c r="Q25" s="58"/>
      <c r="R25" s="40"/>
      <c r="S25" s="40"/>
      <c r="T25" s="40"/>
      <c r="U25" s="40"/>
      <c r="V25" s="40"/>
      <c r="W25" s="40"/>
      <c r="X25" s="40"/>
      <c r="Y25" s="40"/>
      <c r="Z25" s="40"/>
      <c r="AA25" s="40"/>
      <c r="AB25" s="40"/>
    </row>
    <row r="26">
      <c r="A26" s="51" t="s">
        <v>20</v>
      </c>
      <c r="B26" s="59">
        <f t="shared" ref="B26:F26" si="20">B25/$B$1</f>
        <v>104.9959732</v>
      </c>
      <c r="C26" s="59">
        <f t="shared" si="20"/>
        <v>287.2986577</v>
      </c>
      <c r="D26" s="59">
        <f t="shared" si="20"/>
        <v>377.3369128</v>
      </c>
      <c r="E26" s="59">
        <f t="shared" si="20"/>
        <v>377.4718121</v>
      </c>
      <c r="F26" s="59">
        <f t="shared" si="20"/>
        <v>274.1221477</v>
      </c>
      <c r="G26" s="60">
        <f t="shared" si="21"/>
        <v>1421.225503</v>
      </c>
      <c r="H26" s="87">
        <f t="shared" ref="H26:I26" si="22">H25/$B$1</f>
        <v>1409.395973</v>
      </c>
      <c r="I26" s="88">
        <f t="shared" si="22"/>
        <v>1470.233279</v>
      </c>
      <c r="J26" s="40"/>
      <c r="K26" s="57"/>
      <c r="Q26" s="58"/>
      <c r="R26" s="40"/>
      <c r="S26" s="40"/>
      <c r="T26" s="40"/>
      <c r="U26" s="40"/>
      <c r="V26" s="40"/>
      <c r="W26" s="40"/>
      <c r="X26" s="40"/>
      <c r="Y26" s="40"/>
      <c r="Z26" s="40"/>
      <c r="AA26" s="40"/>
      <c r="AB26" s="40"/>
    </row>
    <row r="27">
      <c r="A27" s="51" t="s">
        <v>21</v>
      </c>
      <c r="B27" s="63">
        <v>9.0</v>
      </c>
      <c r="C27" s="63">
        <v>74.0</v>
      </c>
      <c r="D27" s="63">
        <v>78.0</v>
      </c>
      <c r="E27" s="63">
        <v>86.0</v>
      </c>
      <c r="F27" s="63">
        <v>64.0</v>
      </c>
      <c r="G27" s="64">
        <f t="shared" si="21"/>
        <v>311</v>
      </c>
      <c r="H27" s="65">
        <f>B172</f>
        <v>381.8181818</v>
      </c>
      <c r="I27" s="66">
        <f>$G27/$G$1*30</f>
        <v>321.7241379</v>
      </c>
      <c r="J27" s="40"/>
      <c r="K27" s="57"/>
      <c r="Q27" s="58"/>
      <c r="R27" s="40"/>
      <c r="S27" s="40"/>
      <c r="T27" s="40"/>
      <c r="U27" s="40"/>
      <c r="V27" s="40"/>
      <c r="W27" s="40"/>
      <c r="X27" s="40"/>
      <c r="Y27" s="40"/>
      <c r="Z27" s="40"/>
      <c r="AA27" s="40"/>
      <c r="AB27" s="40"/>
    </row>
    <row r="28">
      <c r="A28" s="51" t="s">
        <v>22</v>
      </c>
      <c r="B28" s="90">
        <f t="shared" ref="B28:F28" si="23">B25/B27</f>
        <v>17382.66667</v>
      </c>
      <c r="C28" s="90">
        <f t="shared" si="23"/>
        <v>5784.797297</v>
      </c>
      <c r="D28" s="90">
        <f t="shared" si="23"/>
        <v>7208.102564</v>
      </c>
      <c r="E28" s="90">
        <f t="shared" si="23"/>
        <v>6539.918605</v>
      </c>
      <c r="F28" s="90">
        <f t="shared" si="23"/>
        <v>6381.90625</v>
      </c>
      <c r="G28" s="77">
        <f t="shared" ref="G28:G29" si="26">G25/G$27</f>
        <v>6809.086817</v>
      </c>
      <c r="H28" s="91">
        <f t="shared" ref="H28:I28" si="24">H25/H27</f>
        <v>5500</v>
      </c>
      <c r="I28" s="56">
        <f t="shared" si="24"/>
        <v>6809.086817</v>
      </c>
      <c r="J28" s="40"/>
      <c r="K28" s="57"/>
      <c r="Q28" s="58"/>
      <c r="R28" s="40"/>
      <c r="S28" s="40"/>
      <c r="T28" s="40"/>
      <c r="U28" s="40"/>
      <c r="V28" s="40"/>
      <c r="W28" s="40"/>
      <c r="X28" s="40"/>
      <c r="Y28" s="40"/>
      <c r="Z28" s="40"/>
      <c r="AA28" s="40"/>
      <c r="AB28" s="40"/>
    </row>
    <row r="29">
      <c r="A29" s="51" t="s">
        <v>23</v>
      </c>
      <c r="B29" s="59">
        <f t="shared" ref="B29:F29" si="25">B28/$B$1</f>
        <v>11.66621924</v>
      </c>
      <c r="C29" s="59">
        <f t="shared" si="25"/>
        <v>3.882414293</v>
      </c>
      <c r="D29" s="59">
        <f t="shared" si="25"/>
        <v>4.837652728</v>
      </c>
      <c r="E29" s="59">
        <f t="shared" si="25"/>
        <v>4.389207117</v>
      </c>
      <c r="F29" s="59">
        <f t="shared" si="25"/>
        <v>4.283158557</v>
      </c>
      <c r="G29" s="60">
        <f t="shared" si="26"/>
        <v>4.569856924</v>
      </c>
      <c r="H29" s="87">
        <f t="shared" ref="H29:I29" si="27">H28/$B$1</f>
        <v>3.691275168</v>
      </c>
      <c r="I29" s="88">
        <f t="shared" si="27"/>
        <v>4.569856924</v>
      </c>
      <c r="J29" s="40"/>
      <c r="K29" s="57"/>
      <c r="Q29" s="58"/>
      <c r="R29" s="40"/>
      <c r="S29" s="40"/>
      <c r="T29" s="40"/>
      <c r="U29" s="40"/>
      <c r="V29" s="40"/>
      <c r="W29" s="40"/>
      <c r="X29" s="40"/>
      <c r="Y29" s="40"/>
      <c r="Z29" s="40"/>
      <c r="AA29" s="40"/>
      <c r="AB29" s="40"/>
    </row>
    <row r="30">
      <c r="A30" s="51" t="s">
        <v>24</v>
      </c>
      <c r="B30" s="63">
        <v>2.0</v>
      </c>
      <c r="C30" s="63">
        <v>5.0</v>
      </c>
      <c r="D30" s="63">
        <v>5.0</v>
      </c>
      <c r="E30" s="63">
        <v>6.0</v>
      </c>
      <c r="F30" s="63">
        <v>6.0</v>
      </c>
      <c r="G30" s="64">
        <f>SUM(B30:F30)</f>
        <v>24</v>
      </c>
      <c r="H30" s="65">
        <f>B174</f>
        <v>38.18181818</v>
      </c>
      <c r="I30" s="66">
        <f>$G30/$G$1*30</f>
        <v>24.82758621</v>
      </c>
      <c r="J30" s="40"/>
      <c r="K30" s="57"/>
      <c r="Q30" s="58"/>
      <c r="R30" s="40"/>
      <c r="S30" s="40"/>
      <c r="T30" s="40"/>
      <c r="U30" s="40"/>
      <c r="V30" s="40"/>
      <c r="W30" s="40"/>
      <c r="X30" s="40"/>
      <c r="Y30" s="40"/>
      <c r="Z30" s="40"/>
      <c r="AA30" s="40"/>
      <c r="AB30" s="40"/>
    </row>
    <row r="31">
      <c r="A31" s="51" t="s">
        <v>25</v>
      </c>
      <c r="B31" s="90">
        <f t="shared" ref="B31:F31" si="28">B25/B30</f>
        <v>78222</v>
      </c>
      <c r="C31" s="90">
        <f t="shared" si="28"/>
        <v>85615</v>
      </c>
      <c r="D31" s="90">
        <f t="shared" si="28"/>
        <v>112446.4</v>
      </c>
      <c r="E31" s="90">
        <f t="shared" si="28"/>
        <v>93738.83333</v>
      </c>
      <c r="F31" s="90">
        <f t="shared" si="28"/>
        <v>68073.66667</v>
      </c>
      <c r="G31" s="77">
        <f t="shared" ref="G31:G32" si="31">G25/G$30</f>
        <v>88234.41667</v>
      </c>
      <c r="H31" s="91">
        <f t="shared" ref="H31:I31" si="29">H25/H30</f>
        <v>55000</v>
      </c>
      <c r="I31" s="71">
        <f t="shared" si="29"/>
        <v>88234.41667</v>
      </c>
      <c r="J31" s="40"/>
      <c r="K31" s="57"/>
      <c r="Q31" s="58"/>
      <c r="R31" s="40"/>
      <c r="S31" s="40"/>
      <c r="T31" s="40"/>
      <c r="U31" s="40"/>
      <c r="V31" s="40"/>
      <c r="W31" s="40"/>
      <c r="X31" s="40"/>
      <c r="Y31" s="40"/>
      <c r="Z31" s="40"/>
      <c r="AA31" s="40"/>
      <c r="AB31" s="40"/>
    </row>
    <row r="32">
      <c r="A32" s="51" t="s">
        <v>26</v>
      </c>
      <c r="B32" s="59">
        <f t="shared" ref="B32:F32" si="30">B31/$B$1</f>
        <v>52.49798658</v>
      </c>
      <c r="C32" s="59">
        <f t="shared" si="30"/>
        <v>57.45973154</v>
      </c>
      <c r="D32" s="59">
        <f t="shared" si="30"/>
        <v>75.46738255</v>
      </c>
      <c r="E32" s="59">
        <f t="shared" si="30"/>
        <v>62.91196868</v>
      </c>
      <c r="F32" s="59">
        <f t="shared" si="30"/>
        <v>45.68702461</v>
      </c>
      <c r="G32" s="60">
        <f t="shared" si="31"/>
        <v>59.21772931</v>
      </c>
      <c r="H32" s="87">
        <f t="shared" ref="H32:I32" si="32">H31/$B$1</f>
        <v>36.91275168</v>
      </c>
      <c r="I32" s="88">
        <f t="shared" si="32"/>
        <v>59.21772931</v>
      </c>
      <c r="J32" s="40"/>
      <c r="K32" s="57"/>
      <c r="Q32" s="58"/>
      <c r="R32" s="40"/>
      <c r="S32" s="40"/>
      <c r="T32" s="40"/>
      <c r="U32" s="40"/>
      <c r="V32" s="40"/>
      <c r="W32" s="40"/>
      <c r="X32" s="40"/>
      <c r="Y32" s="40"/>
      <c r="Z32" s="40"/>
      <c r="AA32" s="40"/>
      <c r="AB32" s="40"/>
    </row>
    <row r="33">
      <c r="A33" s="51" t="s">
        <v>27</v>
      </c>
      <c r="B33" s="74">
        <f t="shared" ref="B33:I33" si="33">B30/B27</f>
        <v>0.2222222222</v>
      </c>
      <c r="C33" s="74">
        <f t="shared" si="33"/>
        <v>0.06756756757</v>
      </c>
      <c r="D33" s="74">
        <f t="shared" si="33"/>
        <v>0.0641025641</v>
      </c>
      <c r="E33" s="74">
        <f t="shared" si="33"/>
        <v>0.06976744186</v>
      </c>
      <c r="F33" s="74">
        <f t="shared" si="33"/>
        <v>0.09375</v>
      </c>
      <c r="G33" s="75">
        <f t="shared" si="33"/>
        <v>0.07717041801</v>
      </c>
      <c r="H33" s="92">
        <f t="shared" si="33"/>
        <v>0.1</v>
      </c>
      <c r="I33" s="73">
        <f t="shared" si="33"/>
        <v>0.07717041801</v>
      </c>
      <c r="J33" s="40"/>
      <c r="K33" s="57"/>
      <c r="Q33" s="58"/>
      <c r="R33" s="40"/>
      <c r="S33" s="40"/>
      <c r="T33" s="40"/>
      <c r="U33" s="40"/>
      <c r="V33" s="40"/>
      <c r="W33" s="40"/>
      <c r="X33" s="40"/>
      <c r="Y33" s="40"/>
      <c r="Z33" s="40"/>
      <c r="AA33" s="40"/>
      <c r="AB33" s="40"/>
    </row>
    <row r="34">
      <c r="A34" s="51" t="s">
        <v>28</v>
      </c>
      <c r="B34" s="63"/>
      <c r="C34" s="63">
        <v>0.0</v>
      </c>
      <c r="D34" s="63"/>
      <c r="E34" s="69"/>
      <c r="F34" s="69"/>
      <c r="G34" s="64">
        <f>SUM(B34:D34)</f>
        <v>0</v>
      </c>
      <c r="H34" s="78"/>
      <c r="I34" s="79">
        <f>$G34/$G$1*30</f>
        <v>0</v>
      </c>
      <c r="J34" s="40"/>
      <c r="K34" s="57"/>
      <c r="Q34" s="58"/>
      <c r="R34" s="40"/>
      <c r="S34" s="40"/>
      <c r="T34" s="40"/>
      <c r="U34" s="40"/>
      <c r="V34" s="40"/>
      <c r="W34" s="40"/>
      <c r="X34" s="40"/>
      <c r="Y34" s="40"/>
      <c r="Z34" s="40"/>
      <c r="AA34" s="40"/>
      <c r="AB34" s="40"/>
    </row>
    <row r="35">
      <c r="A35" s="51" t="s">
        <v>29</v>
      </c>
      <c r="B35" s="69"/>
      <c r="C35" s="69"/>
      <c r="D35" s="69"/>
      <c r="E35" s="69"/>
      <c r="F35" s="69"/>
      <c r="G35" s="64"/>
      <c r="H35" s="78"/>
      <c r="I35" s="93" t="str">
        <f>I25/I34</f>
        <v>#DIV/0!</v>
      </c>
      <c r="J35" s="40"/>
      <c r="K35" s="57"/>
      <c r="Q35" s="58"/>
      <c r="R35" s="40"/>
      <c r="S35" s="40"/>
      <c r="T35" s="40"/>
      <c r="U35" s="40"/>
      <c r="V35" s="40"/>
      <c r="W35" s="40"/>
      <c r="X35" s="40"/>
      <c r="Y35" s="40"/>
      <c r="Z35" s="40"/>
      <c r="AA35" s="40"/>
      <c r="AB35" s="40"/>
    </row>
    <row r="36">
      <c r="A36" s="51" t="s">
        <v>30</v>
      </c>
      <c r="B36" s="59">
        <f t="shared" ref="B36:D36" si="34">B35/$B$1</f>
        <v>0</v>
      </c>
      <c r="C36" s="59">
        <f t="shared" si="34"/>
        <v>0</v>
      </c>
      <c r="D36" s="59">
        <f t="shared" si="34"/>
        <v>0</v>
      </c>
      <c r="E36" s="69"/>
      <c r="F36" s="69"/>
      <c r="G36" s="64"/>
      <c r="H36" s="78"/>
      <c r="I36" s="80"/>
      <c r="J36" s="40"/>
      <c r="K36" s="57"/>
      <c r="Q36" s="58"/>
      <c r="R36" s="40"/>
      <c r="S36" s="40"/>
      <c r="T36" s="40"/>
      <c r="U36" s="40"/>
      <c r="V36" s="40"/>
      <c r="W36" s="40"/>
      <c r="X36" s="40"/>
      <c r="Y36" s="40"/>
      <c r="Z36" s="40"/>
      <c r="AA36" s="40"/>
      <c r="AB36" s="40"/>
    </row>
    <row r="37">
      <c r="A37" s="51" t="s">
        <v>32</v>
      </c>
      <c r="B37" s="69"/>
      <c r="C37" s="69"/>
      <c r="D37" s="69"/>
      <c r="E37" s="69"/>
      <c r="F37" s="69"/>
      <c r="G37" s="64"/>
      <c r="H37" s="78"/>
      <c r="I37" s="80">
        <f>I34/I27</f>
        <v>0</v>
      </c>
      <c r="J37" s="40"/>
      <c r="K37" s="81"/>
      <c r="L37" s="82"/>
      <c r="M37" s="82"/>
      <c r="N37" s="82"/>
      <c r="O37" s="82"/>
      <c r="P37" s="82"/>
      <c r="Q37" s="83"/>
      <c r="R37" s="40"/>
      <c r="S37" s="40"/>
      <c r="T37" s="40"/>
      <c r="U37" s="40"/>
      <c r="V37" s="40"/>
      <c r="W37" s="40"/>
      <c r="X37" s="40"/>
      <c r="Y37" s="40"/>
      <c r="Z37" s="40"/>
      <c r="AA37" s="40"/>
      <c r="AB37" s="40"/>
    </row>
    <row r="38">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row>
    <row r="39">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row>
    <row r="40">
      <c r="A40" s="94" t="s">
        <v>55</v>
      </c>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row>
    <row r="41">
      <c r="A41" s="7" t="s">
        <v>3</v>
      </c>
      <c r="B41" s="44" t="str">
        <f t="shared" ref="B41:F41" si="35">B3</f>
        <v>01/12 al 02/12</v>
      </c>
      <c r="C41" s="44" t="str">
        <f t="shared" si="35"/>
        <v>03/12 al 09/12</v>
      </c>
      <c r="D41" s="44" t="str">
        <f t="shared" si="35"/>
        <v>10/12 al 16/12</v>
      </c>
      <c r="E41" s="44" t="str">
        <f t="shared" si="35"/>
        <v>17/12 al 23/12</v>
      </c>
      <c r="F41" s="44" t="str">
        <f t="shared" si="35"/>
        <v>24/12 al 31/12</v>
      </c>
      <c r="G41" s="44" t="s">
        <v>43</v>
      </c>
      <c r="H41" s="45" t="s">
        <v>17</v>
      </c>
      <c r="I41" s="47" t="s">
        <v>45</v>
      </c>
      <c r="J41" s="40"/>
      <c r="K41" s="95"/>
      <c r="L41" s="49"/>
      <c r="M41" s="49"/>
      <c r="N41" s="49"/>
      <c r="O41" s="49"/>
      <c r="P41" s="49"/>
      <c r="Q41" s="50"/>
      <c r="R41" s="40"/>
      <c r="S41" s="40"/>
      <c r="T41" s="40"/>
      <c r="U41" s="40"/>
      <c r="V41" s="40"/>
      <c r="W41" s="40"/>
      <c r="X41" s="40"/>
      <c r="Y41" s="40"/>
      <c r="Z41" s="40"/>
      <c r="AA41" s="40"/>
      <c r="AB41" s="40"/>
    </row>
    <row r="42">
      <c r="A42" s="51" t="s">
        <v>19</v>
      </c>
      <c r="B42" s="67">
        <f>103124+109332</f>
        <v>212456</v>
      </c>
      <c r="C42" s="67">
        <f>418678+10140</f>
        <v>428818</v>
      </c>
      <c r="D42" s="67">
        <f>113255+33529+419175</f>
        <v>565959</v>
      </c>
      <c r="E42" s="67">
        <f>113291+33529+419340</f>
        <v>566160</v>
      </c>
      <c r="F42" s="67">
        <f>115963+348453</f>
        <v>464416</v>
      </c>
      <c r="G42" s="77">
        <f t="shared" ref="G42:G44" si="37">SUM(B42:F42)</f>
        <v>2237809</v>
      </c>
      <c r="H42" s="85">
        <f>C169</f>
        <v>2100000</v>
      </c>
      <c r="I42" s="56">
        <f>$G42/$G$1*30</f>
        <v>2314974.828</v>
      </c>
      <c r="J42" s="86">
        <f>(H42-G42)/15</f>
        <v>-9187.266667</v>
      </c>
      <c r="K42" s="57"/>
      <c r="Q42" s="58"/>
      <c r="R42" s="40"/>
      <c r="S42" s="40"/>
      <c r="T42" s="40"/>
      <c r="U42" s="40"/>
      <c r="V42" s="40"/>
      <c r="W42" s="40"/>
      <c r="X42" s="40"/>
      <c r="Y42" s="40"/>
      <c r="Z42" s="40"/>
      <c r="AA42" s="40"/>
      <c r="AB42" s="40"/>
    </row>
    <row r="43">
      <c r="A43" s="51" t="s">
        <v>20</v>
      </c>
      <c r="B43" s="59">
        <f t="shared" ref="B43:F43" si="36">B42/$B$1</f>
        <v>142.5879195</v>
      </c>
      <c r="C43" s="59">
        <f t="shared" si="36"/>
        <v>287.7973154</v>
      </c>
      <c r="D43" s="59">
        <f t="shared" si="36"/>
        <v>379.838255</v>
      </c>
      <c r="E43" s="59">
        <f t="shared" si="36"/>
        <v>379.9731544</v>
      </c>
      <c r="F43" s="59">
        <f t="shared" si="36"/>
        <v>311.6885906</v>
      </c>
      <c r="G43" s="60">
        <f t="shared" si="37"/>
        <v>1501.885235</v>
      </c>
      <c r="H43" s="87">
        <f>H42/$B$1</f>
        <v>1409.395973</v>
      </c>
      <c r="I43" s="66"/>
      <c r="J43" s="40"/>
      <c r="K43" s="57"/>
      <c r="Q43" s="58"/>
      <c r="R43" s="40"/>
      <c r="S43" s="40"/>
      <c r="T43" s="40"/>
      <c r="U43" s="40"/>
      <c r="V43" s="40"/>
      <c r="W43" s="40"/>
      <c r="X43" s="40"/>
      <c r="Y43" s="40"/>
      <c r="Z43" s="40"/>
      <c r="AA43" s="40"/>
      <c r="AB43" s="40"/>
    </row>
    <row r="44">
      <c r="A44" s="51" t="s">
        <v>21</v>
      </c>
      <c r="B44" s="63">
        <v>74.0</v>
      </c>
      <c r="C44" s="63">
        <v>127.0</v>
      </c>
      <c r="D44" s="63">
        <v>118.0</v>
      </c>
      <c r="E44" s="63">
        <v>104.0</v>
      </c>
      <c r="F44" s="63">
        <v>126.0</v>
      </c>
      <c r="G44" s="64">
        <f t="shared" si="37"/>
        <v>549</v>
      </c>
      <c r="H44" s="65">
        <f>C172</f>
        <v>466.6666667</v>
      </c>
      <c r="I44" s="66">
        <f>$G44/$G$1*30</f>
        <v>567.9310345</v>
      </c>
      <c r="J44" s="40"/>
      <c r="K44" s="57"/>
      <c r="Q44" s="58"/>
      <c r="R44" s="40"/>
      <c r="S44" s="40"/>
      <c r="T44" s="40"/>
      <c r="U44" s="40"/>
      <c r="V44" s="40"/>
      <c r="W44" s="40"/>
      <c r="X44" s="40"/>
      <c r="Y44" s="40"/>
      <c r="Z44" s="40"/>
      <c r="AA44" s="40"/>
      <c r="AB44" s="40"/>
    </row>
    <row r="45">
      <c r="A45" s="51" t="s">
        <v>22</v>
      </c>
      <c r="B45" s="90">
        <f t="shared" ref="B45:F45" si="38">B42/B44</f>
        <v>2871.027027</v>
      </c>
      <c r="C45" s="90">
        <f t="shared" si="38"/>
        <v>3376.519685</v>
      </c>
      <c r="D45" s="90">
        <f t="shared" si="38"/>
        <v>4796.262712</v>
      </c>
      <c r="E45" s="90">
        <f t="shared" si="38"/>
        <v>5443.846154</v>
      </c>
      <c r="F45" s="90">
        <f t="shared" si="38"/>
        <v>3685.84127</v>
      </c>
      <c r="G45" s="77">
        <f t="shared" ref="G45:G46" si="41">G42/G$44</f>
        <v>4076.154827</v>
      </c>
      <c r="H45" s="91">
        <f t="shared" ref="H45:I45" si="39">H42/H44</f>
        <v>4500</v>
      </c>
      <c r="I45" s="56">
        <f t="shared" si="39"/>
        <v>4076.154827</v>
      </c>
      <c r="J45" s="40"/>
      <c r="K45" s="57"/>
      <c r="Q45" s="58"/>
      <c r="R45" s="40"/>
      <c r="S45" s="40"/>
      <c r="T45" s="40"/>
      <c r="U45" s="40"/>
      <c r="V45" s="40"/>
      <c r="W45" s="40"/>
      <c r="X45" s="40"/>
      <c r="Y45" s="40"/>
      <c r="Z45" s="40"/>
      <c r="AA45" s="40"/>
      <c r="AB45" s="40"/>
    </row>
    <row r="46">
      <c r="A46" s="51" t="s">
        <v>23</v>
      </c>
      <c r="B46" s="59">
        <f t="shared" ref="B46:F46" si="40">B45/$B$1</f>
        <v>1.926863777</v>
      </c>
      <c r="C46" s="59">
        <f t="shared" si="40"/>
        <v>2.266120594</v>
      </c>
      <c r="D46" s="59">
        <f t="shared" si="40"/>
        <v>3.218968263</v>
      </c>
      <c r="E46" s="59">
        <f t="shared" si="40"/>
        <v>3.653588023</v>
      </c>
      <c r="F46" s="59">
        <f t="shared" si="40"/>
        <v>2.473718973</v>
      </c>
      <c r="G46" s="60">
        <f t="shared" si="41"/>
        <v>2.735674381</v>
      </c>
      <c r="H46" s="87">
        <f>H45/$B$1</f>
        <v>3.020134228</v>
      </c>
      <c r="I46" s="66"/>
      <c r="J46" s="40"/>
      <c r="K46" s="57"/>
      <c r="Q46" s="58"/>
      <c r="R46" s="40"/>
      <c r="S46" s="40"/>
      <c r="T46" s="40"/>
      <c r="U46" s="40"/>
      <c r="V46" s="40"/>
      <c r="W46" s="40"/>
      <c r="X46" s="40"/>
      <c r="Y46" s="40"/>
      <c r="Z46" s="40"/>
      <c r="AA46" s="40"/>
      <c r="AB46" s="40"/>
    </row>
    <row r="47">
      <c r="A47" s="51" t="s">
        <v>24</v>
      </c>
      <c r="B47" s="63">
        <v>1.0</v>
      </c>
      <c r="C47" s="63">
        <v>3.0</v>
      </c>
      <c r="D47" s="63">
        <v>5.0</v>
      </c>
      <c r="E47" s="63">
        <v>2.0</v>
      </c>
      <c r="F47" s="63">
        <v>7.0</v>
      </c>
      <c r="G47" s="64">
        <f>SUM(B47:F47)</f>
        <v>18</v>
      </c>
      <c r="H47" s="65">
        <f>C174</f>
        <v>23.33333333</v>
      </c>
      <c r="I47" s="66">
        <f>$G47/$G$1*30</f>
        <v>18.62068966</v>
      </c>
      <c r="J47" s="40"/>
      <c r="K47" s="57"/>
      <c r="Q47" s="58"/>
      <c r="R47" s="40"/>
      <c r="S47" s="40"/>
      <c r="T47" s="40"/>
      <c r="U47" s="40"/>
      <c r="V47" s="40"/>
      <c r="W47" s="40"/>
      <c r="X47" s="40"/>
      <c r="Y47" s="40"/>
      <c r="Z47" s="40"/>
      <c r="AA47" s="40"/>
      <c r="AB47" s="40"/>
    </row>
    <row r="48">
      <c r="A48" s="51" t="s">
        <v>25</v>
      </c>
      <c r="B48" s="90">
        <f t="shared" ref="B48:F48" si="42">B42/B47</f>
        <v>212456</v>
      </c>
      <c r="C48" s="90">
        <f t="shared" si="42"/>
        <v>142939.3333</v>
      </c>
      <c r="D48" s="90">
        <f t="shared" si="42"/>
        <v>113191.8</v>
      </c>
      <c r="E48" s="90">
        <f t="shared" si="42"/>
        <v>283080</v>
      </c>
      <c r="F48" s="90">
        <f t="shared" si="42"/>
        <v>66345.14286</v>
      </c>
      <c r="G48" s="77">
        <f t="shared" ref="G48:G49" si="45">G42/G$47</f>
        <v>124322.7222</v>
      </c>
      <c r="H48" s="91">
        <f t="shared" ref="H48:I48" si="43">H42/H47</f>
        <v>90000</v>
      </c>
      <c r="I48" s="71">
        <f t="shared" si="43"/>
        <v>124322.7222</v>
      </c>
      <c r="J48" s="40"/>
      <c r="K48" s="57"/>
      <c r="Q48" s="58"/>
      <c r="R48" s="40"/>
      <c r="S48" s="40"/>
      <c r="T48" s="40"/>
      <c r="U48" s="40"/>
      <c r="V48" s="40"/>
      <c r="W48" s="40"/>
      <c r="X48" s="40"/>
      <c r="Y48" s="40"/>
      <c r="Z48" s="40"/>
      <c r="AA48" s="40"/>
      <c r="AB48" s="40"/>
    </row>
    <row r="49">
      <c r="A49" s="51" t="s">
        <v>26</v>
      </c>
      <c r="B49" s="59">
        <f t="shared" ref="B49:F49" si="44">B48/$B$1</f>
        <v>142.5879195</v>
      </c>
      <c r="C49" s="59">
        <f t="shared" si="44"/>
        <v>95.93243848</v>
      </c>
      <c r="D49" s="59">
        <f t="shared" si="44"/>
        <v>75.96765101</v>
      </c>
      <c r="E49" s="59">
        <f t="shared" si="44"/>
        <v>189.9865772</v>
      </c>
      <c r="F49" s="59">
        <f t="shared" si="44"/>
        <v>44.52694151</v>
      </c>
      <c r="G49" s="60">
        <f t="shared" si="45"/>
        <v>83.43806861</v>
      </c>
      <c r="H49" s="87">
        <f>H48/$B$1</f>
        <v>60.40268456</v>
      </c>
      <c r="I49" s="73"/>
      <c r="J49" s="40"/>
      <c r="K49" s="57"/>
      <c r="Q49" s="58"/>
      <c r="R49" s="40"/>
      <c r="S49" s="40"/>
      <c r="T49" s="40"/>
      <c r="U49" s="40"/>
      <c r="V49" s="40"/>
      <c r="W49" s="40"/>
      <c r="X49" s="40"/>
      <c r="Y49" s="40"/>
      <c r="Z49" s="40"/>
      <c r="AA49" s="40"/>
      <c r="AB49" s="40"/>
    </row>
    <row r="50">
      <c r="A50" s="51" t="s">
        <v>27</v>
      </c>
      <c r="B50" s="74">
        <f t="shared" ref="B50:I50" si="46">B47/B44</f>
        <v>0.01351351351</v>
      </c>
      <c r="C50" s="74">
        <f t="shared" si="46"/>
        <v>0.02362204724</v>
      </c>
      <c r="D50" s="74">
        <f t="shared" si="46"/>
        <v>0.04237288136</v>
      </c>
      <c r="E50" s="74">
        <f t="shared" si="46"/>
        <v>0.01923076923</v>
      </c>
      <c r="F50" s="74">
        <f t="shared" si="46"/>
        <v>0.05555555556</v>
      </c>
      <c r="G50" s="75">
        <f t="shared" si="46"/>
        <v>0.03278688525</v>
      </c>
      <c r="H50" s="92">
        <f t="shared" si="46"/>
        <v>0.05</v>
      </c>
      <c r="I50" s="73">
        <f t="shared" si="46"/>
        <v>0.03278688525</v>
      </c>
      <c r="J50" s="40"/>
      <c r="K50" s="57"/>
      <c r="Q50" s="58"/>
      <c r="R50" s="40"/>
      <c r="S50" s="40"/>
      <c r="T50" s="40"/>
      <c r="U50" s="40"/>
      <c r="V50" s="40"/>
      <c r="W50" s="40"/>
      <c r="X50" s="40"/>
      <c r="Y50" s="40"/>
      <c r="Z50" s="40"/>
      <c r="AA50" s="40"/>
      <c r="AB50" s="40"/>
    </row>
    <row r="51">
      <c r="A51" s="51" t="s">
        <v>28</v>
      </c>
      <c r="B51" s="63"/>
      <c r="C51" s="63"/>
      <c r="D51" s="63"/>
      <c r="E51" s="69"/>
      <c r="F51" s="69"/>
      <c r="G51" s="64">
        <f>SUM(B51:D51)</f>
        <v>0</v>
      </c>
      <c r="H51" s="78"/>
      <c r="I51" s="79">
        <f>$G51/$G$1*30</f>
        <v>0</v>
      </c>
      <c r="J51" s="40"/>
      <c r="K51" s="57"/>
      <c r="Q51" s="58"/>
      <c r="R51" s="40"/>
      <c r="S51" s="40"/>
      <c r="T51" s="40"/>
      <c r="U51" s="40"/>
      <c r="V51" s="40"/>
      <c r="W51" s="40"/>
      <c r="X51" s="40"/>
      <c r="Y51" s="40"/>
      <c r="Z51" s="40"/>
      <c r="AA51" s="40"/>
      <c r="AB51" s="40"/>
    </row>
    <row r="52">
      <c r="A52" s="51" t="s">
        <v>29</v>
      </c>
      <c r="B52" s="69"/>
      <c r="C52" s="69"/>
      <c r="D52" s="69"/>
      <c r="E52" s="69"/>
      <c r="F52" s="69"/>
      <c r="G52" s="64"/>
      <c r="H52" s="78"/>
      <c r="I52" s="93" t="str">
        <f>I42/I51</f>
        <v>#DIV/0!</v>
      </c>
      <c r="J52" s="40"/>
      <c r="K52" s="57"/>
      <c r="Q52" s="58"/>
      <c r="R52" s="40"/>
      <c r="S52" s="40"/>
      <c r="T52" s="40"/>
      <c r="U52" s="40"/>
      <c r="V52" s="40"/>
      <c r="W52" s="40"/>
      <c r="X52" s="40"/>
      <c r="Y52" s="40"/>
      <c r="Z52" s="40"/>
      <c r="AA52" s="40"/>
      <c r="AB52" s="40"/>
    </row>
    <row r="53">
      <c r="A53" s="51" t="s">
        <v>30</v>
      </c>
      <c r="B53" s="59">
        <f t="shared" ref="B53:D53" si="47">B52/$B$1</f>
        <v>0</v>
      </c>
      <c r="C53" s="59">
        <f t="shared" si="47"/>
        <v>0</v>
      </c>
      <c r="D53" s="59">
        <f t="shared" si="47"/>
        <v>0</v>
      </c>
      <c r="E53" s="69"/>
      <c r="F53" s="69"/>
      <c r="G53" s="64"/>
      <c r="H53" s="78"/>
      <c r="I53" s="80"/>
      <c r="J53" s="40"/>
      <c r="K53" s="57"/>
      <c r="Q53" s="58"/>
      <c r="R53" s="40"/>
      <c r="S53" s="40"/>
      <c r="T53" s="40"/>
      <c r="U53" s="40"/>
      <c r="V53" s="40"/>
      <c r="W53" s="40"/>
      <c r="X53" s="40"/>
      <c r="Y53" s="40"/>
      <c r="Z53" s="40"/>
      <c r="AA53" s="40"/>
      <c r="AB53" s="40"/>
    </row>
    <row r="54">
      <c r="A54" s="51" t="s">
        <v>32</v>
      </c>
      <c r="B54" s="69"/>
      <c r="C54" s="69"/>
      <c r="D54" s="69"/>
      <c r="E54" s="69"/>
      <c r="F54" s="69"/>
      <c r="G54" s="64"/>
      <c r="H54" s="78"/>
      <c r="I54" s="80">
        <f>I51/I44</f>
        <v>0</v>
      </c>
      <c r="J54" s="40"/>
      <c r="K54" s="81"/>
      <c r="L54" s="82"/>
      <c r="M54" s="82"/>
      <c r="N54" s="82"/>
      <c r="O54" s="82"/>
      <c r="P54" s="82"/>
      <c r="Q54" s="83"/>
      <c r="R54" s="40"/>
      <c r="S54" s="40"/>
      <c r="T54" s="40"/>
      <c r="U54" s="40"/>
      <c r="V54" s="40"/>
      <c r="W54" s="40"/>
      <c r="X54" s="40"/>
      <c r="Y54" s="40"/>
      <c r="Z54" s="40"/>
      <c r="AA54" s="40"/>
      <c r="AB54" s="40"/>
    </row>
    <row r="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row>
    <row r="56">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row>
    <row r="57">
      <c r="A57" s="96" t="s">
        <v>56</v>
      </c>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row>
    <row r="58">
      <c r="A58" s="7" t="s">
        <v>3</v>
      </c>
      <c r="B58" s="44" t="str">
        <f t="shared" ref="B58:F58" si="48">B3</f>
        <v>01/12 al 02/12</v>
      </c>
      <c r="C58" s="44" t="str">
        <f t="shared" si="48"/>
        <v>03/12 al 09/12</v>
      </c>
      <c r="D58" s="44" t="str">
        <f t="shared" si="48"/>
        <v>10/12 al 16/12</v>
      </c>
      <c r="E58" s="44" t="str">
        <f t="shared" si="48"/>
        <v>17/12 al 23/12</v>
      </c>
      <c r="F58" s="44" t="str">
        <f t="shared" si="48"/>
        <v>24/12 al 31/12</v>
      </c>
      <c r="G58" s="44" t="s">
        <v>43</v>
      </c>
      <c r="H58" s="45" t="s">
        <v>17</v>
      </c>
      <c r="I58" s="47" t="s">
        <v>45</v>
      </c>
      <c r="J58" s="40"/>
      <c r="K58" s="95"/>
      <c r="L58" s="49"/>
      <c r="M58" s="49"/>
      <c r="N58" s="49"/>
      <c r="O58" s="49"/>
      <c r="P58" s="49"/>
      <c r="Q58" s="50"/>
      <c r="R58" s="40"/>
      <c r="S58" s="40"/>
      <c r="T58" s="40"/>
      <c r="U58" s="40"/>
      <c r="V58" s="40"/>
      <c r="W58" s="40"/>
      <c r="X58" s="40"/>
      <c r="Y58" s="40"/>
      <c r="Z58" s="40"/>
      <c r="AA58" s="40"/>
      <c r="AB58" s="40"/>
    </row>
    <row r="59">
      <c r="A59" s="51" t="s">
        <v>19</v>
      </c>
      <c r="B59" s="67">
        <f>87274+93597</f>
        <v>180871</v>
      </c>
      <c r="C59" s="67">
        <f>518070+9378</f>
        <v>527448</v>
      </c>
      <c r="D59" s="67">
        <f>525100+27812+109865</f>
        <v>662777</v>
      </c>
      <c r="E59" s="67">
        <f>109988+27812+526148</f>
        <v>663948</v>
      </c>
      <c r="F59" s="67">
        <f>58723+442780</f>
        <v>501503</v>
      </c>
      <c r="G59" s="77">
        <f t="shared" ref="G59:G61" si="50">SUM(B59:F59)</f>
        <v>2536547</v>
      </c>
      <c r="H59" s="85">
        <f>D169</f>
        <v>2250000</v>
      </c>
      <c r="I59" s="56">
        <f>$G59/$G$1*30</f>
        <v>2624014.138</v>
      </c>
      <c r="J59" s="86">
        <f>(H59-G59)/15</f>
        <v>-19103.13333</v>
      </c>
      <c r="K59" s="57"/>
      <c r="Q59" s="58"/>
      <c r="R59" s="40"/>
      <c r="S59" s="40"/>
      <c r="T59" s="40"/>
      <c r="U59" s="40"/>
      <c r="V59" s="40"/>
      <c r="W59" s="40"/>
      <c r="X59" s="40"/>
      <c r="Y59" s="40"/>
      <c r="Z59" s="40"/>
      <c r="AA59" s="40"/>
      <c r="AB59" s="40"/>
    </row>
    <row r="60">
      <c r="A60" s="51" t="s">
        <v>20</v>
      </c>
      <c r="B60" s="59">
        <f t="shared" ref="B60:F60" si="49">B59/$B$1</f>
        <v>121.3899329</v>
      </c>
      <c r="C60" s="59">
        <f t="shared" si="49"/>
        <v>353.9919463</v>
      </c>
      <c r="D60" s="59">
        <f t="shared" si="49"/>
        <v>444.8167785</v>
      </c>
      <c r="E60" s="59">
        <f t="shared" si="49"/>
        <v>445.6026846</v>
      </c>
      <c r="F60" s="59">
        <f t="shared" si="49"/>
        <v>336.5791946</v>
      </c>
      <c r="G60" s="60">
        <f t="shared" si="50"/>
        <v>1702.380537</v>
      </c>
      <c r="H60" s="87">
        <f>H59/$B$1</f>
        <v>1510.067114</v>
      </c>
      <c r="I60" s="66"/>
      <c r="J60" s="40"/>
      <c r="K60" s="57"/>
      <c r="Q60" s="58"/>
      <c r="R60" s="40"/>
      <c r="S60" s="40"/>
      <c r="T60" s="40"/>
      <c r="U60" s="40"/>
      <c r="V60" s="40"/>
      <c r="W60" s="40"/>
      <c r="X60" s="40"/>
      <c r="Y60" s="40"/>
      <c r="Z60" s="40"/>
      <c r="AA60" s="40"/>
      <c r="AB60" s="40"/>
    </row>
    <row r="61">
      <c r="A61" s="51" t="s">
        <v>21</v>
      </c>
      <c r="B61" s="63">
        <v>33.0</v>
      </c>
      <c r="C61" s="63">
        <v>182.0</v>
      </c>
      <c r="D61" s="63">
        <v>154.0</v>
      </c>
      <c r="E61" s="63">
        <v>117.0</v>
      </c>
      <c r="F61" s="63">
        <v>100.0</v>
      </c>
      <c r="G61" s="64">
        <f t="shared" si="50"/>
        <v>586</v>
      </c>
      <c r="H61" s="65">
        <f>D172</f>
        <v>500</v>
      </c>
      <c r="I61" s="66">
        <f>$G61/$G$1*30</f>
        <v>606.2068966</v>
      </c>
      <c r="J61" s="40"/>
      <c r="K61" s="57"/>
      <c r="Q61" s="58"/>
      <c r="R61" s="40"/>
      <c r="S61" s="40"/>
      <c r="T61" s="40"/>
      <c r="U61" s="40"/>
      <c r="V61" s="40"/>
      <c r="W61" s="40"/>
      <c r="X61" s="40"/>
      <c r="Y61" s="40"/>
      <c r="Z61" s="40"/>
      <c r="AA61" s="40"/>
      <c r="AB61" s="40"/>
    </row>
    <row r="62">
      <c r="A62" s="51" t="s">
        <v>22</v>
      </c>
      <c r="B62" s="90">
        <f t="shared" ref="B62:F62" si="51">B59/B61</f>
        <v>5480.939394</v>
      </c>
      <c r="C62" s="90">
        <f t="shared" si="51"/>
        <v>2898.065934</v>
      </c>
      <c r="D62" s="90">
        <f t="shared" si="51"/>
        <v>4303.746753</v>
      </c>
      <c r="E62" s="90">
        <f t="shared" si="51"/>
        <v>5674.769231</v>
      </c>
      <c r="F62" s="90">
        <f t="shared" si="51"/>
        <v>5015.03</v>
      </c>
      <c r="G62" s="77">
        <f t="shared" ref="G62:G63" si="54">G59/G$61</f>
        <v>4328.578498</v>
      </c>
      <c r="H62" s="91">
        <f t="shared" ref="H62:I62" si="52">H59/H61</f>
        <v>4500</v>
      </c>
      <c r="I62" s="56">
        <f t="shared" si="52"/>
        <v>4328.578498</v>
      </c>
      <c r="J62" s="40"/>
      <c r="K62" s="57"/>
      <c r="Q62" s="58"/>
      <c r="R62" s="40"/>
      <c r="S62" s="40"/>
      <c r="T62" s="40"/>
      <c r="U62" s="40"/>
      <c r="V62" s="40"/>
      <c r="W62" s="40"/>
      <c r="X62" s="40"/>
      <c r="Y62" s="40"/>
      <c r="Z62" s="40"/>
      <c r="AA62" s="40"/>
      <c r="AB62" s="40"/>
    </row>
    <row r="63">
      <c r="A63" s="51" t="s">
        <v>23</v>
      </c>
      <c r="B63" s="59">
        <f t="shared" ref="B63:F63" si="53">B62/$B$1</f>
        <v>3.678482815</v>
      </c>
      <c r="C63" s="59">
        <f t="shared" si="53"/>
        <v>1.945010694</v>
      </c>
      <c r="D63" s="59">
        <f t="shared" si="53"/>
        <v>2.88842064</v>
      </c>
      <c r="E63" s="59">
        <f t="shared" si="53"/>
        <v>3.808569954</v>
      </c>
      <c r="F63" s="59">
        <f t="shared" si="53"/>
        <v>3.365791946</v>
      </c>
      <c r="G63" s="60">
        <f t="shared" si="54"/>
        <v>2.90508624</v>
      </c>
      <c r="H63" s="87">
        <f>H62/$B$1</f>
        <v>3.020134228</v>
      </c>
      <c r="I63" s="66"/>
      <c r="J63" s="40"/>
      <c r="K63" s="57"/>
      <c r="Q63" s="58"/>
      <c r="R63" s="40"/>
      <c r="S63" s="40"/>
      <c r="T63" s="40"/>
      <c r="U63" s="40"/>
      <c r="V63" s="40"/>
      <c r="W63" s="40"/>
      <c r="X63" s="40"/>
      <c r="Y63" s="40"/>
      <c r="Z63" s="40"/>
      <c r="AA63" s="40"/>
      <c r="AB63" s="40"/>
    </row>
    <row r="64">
      <c r="A64" s="51" t="s">
        <v>24</v>
      </c>
      <c r="B64" s="63">
        <v>4.0</v>
      </c>
      <c r="C64" s="63">
        <v>11.0</v>
      </c>
      <c r="D64" s="63">
        <v>15.0</v>
      </c>
      <c r="E64" s="63">
        <v>6.0</v>
      </c>
      <c r="F64" s="63">
        <v>5.0</v>
      </c>
      <c r="G64" s="64">
        <f>SUM(B64:F64)</f>
        <v>41</v>
      </c>
      <c r="H64" s="65">
        <f>D174</f>
        <v>40</v>
      </c>
      <c r="I64" s="66">
        <f>$G64/$G$1*30</f>
        <v>42.4137931</v>
      </c>
      <c r="J64" s="40"/>
      <c r="K64" s="57"/>
      <c r="Q64" s="58"/>
      <c r="R64" s="40"/>
      <c r="S64" s="40"/>
      <c r="T64" s="40"/>
      <c r="U64" s="40"/>
      <c r="V64" s="40"/>
      <c r="W64" s="40"/>
      <c r="X64" s="40"/>
      <c r="Y64" s="40"/>
      <c r="Z64" s="40"/>
      <c r="AA64" s="40"/>
      <c r="AB64" s="40"/>
    </row>
    <row r="65">
      <c r="A65" s="51" t="s">
        <v>25</v>
      </c>
      <c r="B65" s="90">
        <f t="shared" ref="B65:F65" si="55">B59/B64</f>
        <v>45217.75</v>
      </c>
      <c r="C65" s="90">
        <f t="shared" si="55"/>
        <v>47949.81818</v>
      </c>
      <c r="D65" s="90">
        <f t="shared" si="55"/>
        <v>44185.13333</v>
      </c>
      <c r="E65" s="90">
        <f t="shared" si="55"/>
        <v>110658</v>
      </c>
      <c r="F65" s="90">
        <f t="shared" si="55"/>
        <v>100300.6</v>
      </c>
      <c r="G65" s="77">
        <f t="shared" ref="G65:G66" si="58">G59/G$64</f>
        <v>61867</v>
      </c>
      <c r="H65" s="91">
        <f t="shared" ref="H65:I65" si="56">H59/H64</f>
        <v>56250</v>
      </c>
      <c r="I65" s="71">
        <f t="shared" si="56"/>
        <v>61867</v>
      </c>
      <c r="J65" s="40"/>
      <c r="K65" s="57"/>
      <c r="Q65" s="58"/>
      <c r="R65" s="40"/>
      <c r="S65" s="40"/>
      <c r="T65" s="40"/>
      <c r="U65" s="40"/>
      <c r="V65" s="40"/>
      <c r="W65" s="40"/>
      <c r="X65" s="40"/>
      <c r="Y65" s="40"/>
      <c r="Z65" s="40"/>
      <c r="AA65" s="40"/>
      <c r="AB65" s="40"/>
    </row>
    <row r="66">
      <c r="A66" s="51" t="s">
        <v>26</v>
      </c>
      <c r="B66" s="59">
        <f t="shared" ref="B66:F66" si="57">B65/$B$1</f>
        <v>30.34748322</v>
      </c>
      <c r="C66" s="59">
        <f t="shared" si="57"/>
        <v>32.18108603</v>
      </c>
      <c r="D66" s="59">
        <f t="shared" si="57"/>
        <v>29.6544519</v>
      </c>
      <c r="E66" s="59">
        <f t="shared" si="57"/>
        <v>74.26711409</v>
      </c>
      <c r="F66" s="59">
        <f t="shared" si="57"/>
        <v>67.31583893</v>
      </c>
      <c r="G66" s="60">
        <f t="shared" si="58"/>
        <v>41.52147651</v>
      </c>
      <c r="H66" s="87">
        <f>H65/$B$1</f>
        <v>37.75167785</v>
      </c>
      <c r="I66" s="73"/>
      <c r="J66" s="40"/>
      <c r="K66" s="57"/>
      <c r="Q66" s="58"/>
      <c r="R66" s="40"/>
      <c r="S66" s="40"/>
      <c r="T66" s="40"/>
      <c r="U66" s="40"/>
      <c r="V66" s="40"/>
      <c r="W66" s="40"/>
      <c r="X66" s="40"/>
      <c r="Y66" s="40"/>
      <c r="Z66" s="40"/>
      <c r="AA66" s="40"/>
      <c r="AB66" s="40"/>
    </row>
    <row r="67">
      <c r="A67" s="51" t="s">
        <v>27</v>
      </c>
      <c r="B67" s="74">
        <f t="shared" ref="B67:I67" si="59">B64/B61</f>
        <v>0.1212121212</v>
      </c>
      <c r="C67" s="74">
        <f t="shared" si="59"/>
        <v>0.06043956044</v>
      </c>
      <c r="D67" s="74">
        <f t="shared" si="59"/>
        <v>0.0974025974</v>
      </c>
      <c r="E67" s="74">
        <f t="shared" si="59"/>
        <v>0.05128205128</v>
      </c>
      <c r="F67" s="74">
        <f t="shared" si="59"/>
        <v>0.05</v>
      </c>
      <c r="G67" s="75">
        <f t="shared" si="59"/>
        <v>0.06996587031</v>
      </c>
      <c r="H67" s="92">
        <f t="shared" si="59"/>
        <v>0.08</v>
      </c>
      <c r="I67" s="73">
        <f t="shared" si="59"/>
        <v>0.06996587031</v>
      </c>
      <c r="J67" s="40"/>
      <c r="K67" s="57"/>
      <c r="Q67" s="58"/>
      <c r="R67" s="40"/>
      <c r="S67" s="40"/>
      <c r="T67" s="40"/>
      <c r="U67" s="40"/>
      <c r="V67" s="40"/>
      <c r="W67" s="40"/>
      <c r="X67" s="40"/>
      <c r="Y67" s="40"/>
      <c r="Z67" s="40"/>
      <c r="AA67" s="40"/>
      <c r="AB67" s="40"/>
    </row>
    <row r="68">
      <c r="A68" s="51" t="s">
        <v>28</v>
      </c>
      <c r="B68" s="63"/>
      <c r="C68" s="63"/>
      <c r="D68" s="63"/>
      <c r="E68" s="63"/>
      <c r="F68" s="69"/>
      <c r="G68" s="115">
        <v>2.0</v>
      </c>
      <c r="H68" s="78"/>
      <c r="I68" s="79">
        <f>$G68/$G$1*30</f>
        <v>2.068965517</v>
      </c>
      <c r="J68" s="40"/>
      <c r="K68" s="57"/>
      <c r="Q68" s="58"/>
      <c r="R68" s="40"/>
      <c r="S68" s="40"/>
      <c r="T68" s="40"/>
      <c r="U68" s="40"/>
      <c r="V68" s="40"/>
      <c r="W68" s="40"/>
      <c r="X68" s="40"/>
      <c r="Y68" s="40"/>
      <c r="Z68" s="40"/>
      <c r="AA68" s="40"/>
      <c r="AB68" s="40"/>
    </row>
    <row r="69">
      <c r="A69" s="51" t="s">
        <v>29</v>
      </c>
      <c r="B69" s="69"/>
      <c r="C69" s="69" t="str">
        <f>C59/C68</f>
        <v>#DIV/0!</v>
      </c>
      <c r="D69" s="69"/>
      <c r="E69" s="69" t="str">
        <f>E59/E68</f>
        <v>#DIV/0!</v>
      </c>
      <c r="F69" s="69"/>
      <c r="G69" s="77">
        <f>G59/G68</f>
        <v>1268273.5</v>
      </c>
      <c r="H69" s="78"/>
      <c r="I69" s="71">
        <f>I59/I68</f>
        <v>1268273.5</v>
      </c>
      <c r="J69" s="40"/>
      <c r="K69" s="57"/>
      <c r="Q69" s="58"/>
      <c r="R69" s="40"/>
      <c r="S69" s="40"/>
      <c r="T69" s="40"/>
      <c r="U69" s="40"/>
      <c r="V69" s="40"/>
      <c r="W69" s="40"/>
      <c r="X69" s="40"/>
      <c r="Y69" s="40"/>
      <c r="Z69" s="40"/>
      <c r="AA69" s="40"/>
      <c r="AB69" s="40"/>
    </row>
    <row r="70">
      <c r="A70" s="51" t="s">
        <v>30</v>
      </c>
      <c r="B70" s="59">
        <f t="shared" ref="B70:E70" si="60">B69/$B$1</f>
        <v>0</v>
      </c>
      <c r="C70" s="59" t="str">
        <f t="shared" si="60"/>
        <v>#DIV/0!</v>
      </c>
      <c r="D70" s="59">
        <f t="shared" si="60"/>
        <v>0</v>
      </c>
      <c r="E70" s="59" t="str">
        <f t="shared" si="60"/>
        <v>#DIV/0!</v>
      </c>
      <c r="F70" s="69"/>
      <c r="G70" s="60">
        <f>G69/$B$1</f>
        <v>851.1902685</v>
      </c>
      <c r="H70" s="78"/>
      <c r="I70" s="80"/>
      <c r="J70" s="40"/>
      <c r="K70" s="57"/>
      <c r="Q70" s="58"/>
      <c r="R70" s="40"/>
      <c r="S70" s="40"/>
      <c r="T70" s="40"/>
      <c r="U70" s="40"/>
      <c r="V70" s="40"/>
      <c r="W70" s="40"/>
      <c r="X70" s="40"/>
      <c r="Y70" s="40"/>
      <c r="Z70" s="40"/>
      <c r="AA70" s="40"/>
      <c r="AB70" s="40"/>
    </row>
    <row r="71">
      <c r="A71" s="51" t="s">
        <v>32</v>
      </c>
      <c r="B71" s="69"/>
      <c r="C71" s="69"/>
      <c r="D71" s="69"/>
      <c r="E71" s="69"/>
      <c r="F71" s="69"/>
      <c r="G71" s="64"/>
      <c r="H71" s="78"/>
      <c r="I71" s="80">
        <f>I68/I61</f>
        <v>0.003412969283</v>
      </c>
      <c r="J71" s="40"/>
      <c r="K71" s="81"/>
      <c r="L71" s="82"/>
      <c r="M71" s="82"/>
      <c r="N71" s="82"/>
      <c r="O71" s="82"/>
      <c r="P71" s="82"/>
      <c r="Q71" s="83"/>
      <c r="R71" s="40"/>
      <c r="S71" s="40"/>
      <c r="T71" s="40"/>
      <c r="U71" s="40"/>
      <c r="V71" s="40"/>
      <c r="W71" s="40"/>
      <c r="X71" s="40"/>
      <c r="Y71" s="40"/>
      <c r="Z71" s="40"/>
      <c r="AA71" s="40"/>
      <c r="AB71" s="40"/>
    </row>
    <row r="72">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row>
    <row r="73">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row>
    <row r="74">
      <c r="A74" s="97" t="s">
        <v>57</v>
      </c>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row>
    <row r="75">
      <c r="A75" s="7" t="s">
        <v>3</v>
      </c>
      <c r="B75" s="44" t="str">
        <f t="shared" ref="B75:F75" si="61">B3</f>
        <v>01/12 al 02/12</v>
      </c>
      <c r="C75" s="44" t="str">
        <f t="shared" si="61"/>
        <v>03/12 al 09/12</v>
      </c>
      <c r="D75" s="44" t="str">
        <f t="shared" si="61"/>
        <v>10/12 al 16/12</v>
      </c>
      <c r="E75" s="44" t="str">
        <f t="shared" si="61"/>
        <v>17/12 al 23/12</v>
      </c>
      <c r="F75" s="44" t="str">
        <f t="shared" si="61"/>
        <v>24/12 al 31/12</v>
      </c>
      <c r="G75" s="44" t="s">
        <v>43</v>
      </c>
      <c r="H75" s="45" t="s">
        <v>17</v>
      </c>
      <c r="I75" s="47" t="s">
        <v>45</v>
      </c>
      <c r="J75" s="40"/>
      <c r="K75" s="40"/>
      <c r="L75" s="40"/>
      <c r="M75" s="40"/>
      <c r="N75" s="40"/>
      <c r="O75" s="40"/>
      <c r="P75" s="40"/>
      <c r="Q75" s="40"/>
      <c r="R75" s="40"/>
      <c r="S75" s="40"/>
      <c r="T75" s="40"/>
      <c r="U75" s="40"/>
      <c r="V75" s="40"/>
      <c r="W75" s="40"/>
      <c r="X75" s="40"/>
      <c r="Y75" s="40"/>
      <c r="Z75" s="40"/>
      <c r="AA75" s="40"/>
      <c r="AB75" s="40"/>
    </row>
    <row r="76">
      <c r="A76" s="51" t="s">
        <v>19</v>
      </c>
      <c r="B76" s="67">
        <f>89383+93909</f>
        <v>183292</v>
      </c>
      <c r="C76" s="67">
        <f>420387</f>
        <v>420387</v>
      </c>
      <c r="D76" s="67">
        <v>418593.0</v>
      </c>
      <c r="E76" s="67">
        <v>418638.0</v>
      </c>
      <c r="F76" s="67">
        <v>342030.0</v>
      </c>
      <c r="G76" s="77">
        <f t="shared" ref="G76:G78" si="63">SUM(B76:F76)</f>
        <v>1782940</v>
      </c>
      <c r="H76" s="85">
        <f>E169</f>
        <v>1350000</v>
      </c>
      <c r="I76" s="56">
        <f>$G76/$G$1*30</f>
        <v>1844420.69</v>
      </c>
      <c r="J76" s="86">
        <f>(H76-G76)/15</f>
        <v>-28862.66667</v>
      </c>
      <c r="K76" s="40"/>
      <c r="L76" s="40"/>
      <c r="M76" s="40"/>
      <c r="N76" s="40"/>
      <c r="O76" s="40"/>
      <c r="P76" s="40"/>
      <c r="Q76" s="40"/>
      <c r="R76" s="40"/>
      <c r="S76" s="40"/>
      <c r="T76" s="40"/>
      <c r="U76" s="40"/>
      <c r="V76" s="40"/>
      <c r="W76" s="40"/>
      <c r="X76" s="40"/>
      <c r="Y76" s="40"/>
      <c r="Z76" s="40"/>
      <c r="AA76" s="40"/>
      <c r="AB76" s="40"/>
    </row>
    <row r="77">
      <c r="A77" s="51" t="s">
        <v>20</v>
      </c>
      <c r="B77" s="59">
        <f t="shared" ref="B77:F77" si="62">B76/$B$1</f>
        <v>123.0147651</v>
      </c>
      <c r="C77" s="59">
        <f t="shared" si="62"/>
        <v>282.1389262</v>
      </c>
      <c r="D77" s="59">
        <f t="shared" si="62"/>
        <v>280.9348993</v>
      </c>
      <c r="E77" s="59">
        <f t="shared" si="62"/>
        <v>280.9651007</v>
      </c>
      <c r="F77" s="59">
        <f t="shared" si="62"/>
        <v>229.5503356</v>
      </c>
      <c r="G77" s="60">
        <f t="shared" si="63"/>
        <v>1196.604027</v>
      </c>
      <c r="H77" s="87">
        <f>H76/$B$1</f>
        <v>906.0402685</v>
      </c>
      <c r="I77" s="66"/>
      <c r="J77" s="40"/>
      <c r="K77" s="40"/>
      <c r="L77" s="40"/>
      <c r="M77" s="40"/>
      <c r="N77" s="40"/>
      <c r="O77" s="40"/>
      <c r="P77" s="40"/>
      <c r="Q77" s="40"/>
      <c r="R77" s="40"/>
      <c r="S77" s="40"/>
      <c r="T77" s="40"/>
      <c r="U77" s="40"/>
      <c r="V77" s="40"/>
      <c r="W77" s="40"/>
      <c r="X77" s="40"/>
      <c r="Y77" s="40"/>
      <c r="Z77" s="40"/>
      <c r="AA77" s="40"/>
      <c r="AB77" s="40"/>
    </row>
    <row r="78">
      <c r="A78" s="51" t="s">
        <v>21</v>
      </c>
      <c r="B78" s="63">
        <v>25.0</v>
      </c>
      <c r="C78" s="63">
        <v>92.0</v>
      </c>
      <c r="D78" s="63">
        <v>83.0</v>
      </c>
      <c r="E78" s="63">
        <v>63.0</v>
      </c>
      <c r="F78" s="63">
        <v>55.0</v>
      </c>
      <c r="G78" s="64">
        <f t="shared" si="63"/>
        <v>318</v>
      </c>
      <c r="H78" s="65">
        <f>E172</f>
        <v>450</v>
      </c>
      <c r="I78" s="66">
        <f>$G78/$G$1*30</f>
        <v>328.9655172</v>
      </c>
      <c r="J78" s="40"/>
      <c r="K78" s="40"/>
      <c r="L78" s="40"/>
      <c r="M78" s="40"/>
      <c r="N78" s="40"/>
      <c r="O78" s="40"/>
      <c r="P78" s="40"/>
      <c r="Q78" s="40"/>
      <c r="R78" s="40"/>
      <c r="S78" s="40"/>
      <c r="T78" s="40"/>
      <c r="U78" s="40"/>
      <c r="V78" s="40"/>
      <c r="W78" s="40"/>
      <c r="X78" s="40"/>
      <c r="Y78" s="40"/>
      <c r="Z78" s="40"/>
      <c r="AA78" s="40"/>
      <c r="AB78" s="40"/>
    </row>
    <row r="79">
      <c r="A79" s="51" t="s">
        <v>22</v>
      </c>
      <c r="B79" s="90">
        <f t="shared" ref="B79:F79" si="64">B76/B78</f>
        <v>7331.68</v>
      </c>
      <c r="C79" s="90">
        <f t="shared" si="64"/>
        <v>4569.423913</v>
      </c>
      <c r="D79" s="90">
        <f t="shared" si="64"/>
        <v>5043.289157</v>
      </c>
      <c r="E79" s="90">
        <f t="shared" si="64"/>
        <v>6645.047619</v>
      </c>
      <c r="F79" s="90">
        <f t="shared" si="64"/>
        <v>6218.727273</v>
      </c>
      <c r="G79" s="77">
        <f t="shared" ref="G79:G80" si="67">G76/G$78</f>
        <v>5606.72956</v>
      </c>
      <c r="H79" s="91">
        <f t="shared" ref="H79:I79" si="65">H76/H78</f>
        <v>3000</v>
      </c>
      <c r="I79" s="56">
        <f t="shared" si="65"/>
        <v>5606.72956</v>
      </c>
      <c r="J79" s="40"/>
      <c r="K79" s="40"/>
      <c r="L79" s="40"/>
      <c r="M79" s="40"/>
      <c r="N79" s="40"/>
      <c r="O79" s="40"/>
      <c r="P79" s="40"/>
      <c r="Q79" s="40"/>
      <c r="R79" s="40"/>
      <c r="S79" s="40"/>
      <c r="T79" s="40"/>
      <c r="U79" s="40"/>
      <c r="V79" s="40"/>
      <c r="W79" s="40"/>
      <c r="X79" s="40"/>
      <c r="Y79" s="40"/>
      <c r="Z79" s="40"/>
      <c r="AA79" s="40"/>
      <c r="AB79" s="40"/>
    </row>
    <row r="80">
      <c r="A80" s="51" t="s">
        <v>23</v>
      </c>
      <c r="B80" s="59">
        <f t="shared" ref="B80:F80" si="66">B79/$B$1</f>
        <v>4.920590604</v>
      </c>
      <c r="C80" s="59">
        <f t="shared" si="66"/>
        <v>3.066727458</v>
      </c>
      <c r="D80" s="59">
        <f t="shared" si="66"/>
        <v>3.384757823</v>
      </c>
      <c r="E80" s="59">
        <f t="shared" si="66"/>
        <v>4.459763503</v>
      </c>
      <c r="F80" s="59">
        <f t="shared" si="66"/>
        <v>4.173642465</v>
      </c>
      <c r="G80" s="60">
        <f t="shared" si="67"/>
        <v>3.762905745</v>
      </c>
      <c r="H80" s="87">
        <f>H79/$B$1</f>
        <v>2.013422819</v>
      </c>
      <c r="I80" s="66"/>
      <c r="J80" s="40"/>
      <c r="K80" s="40"/>
      <c r="L80" s="40"/>
      <c r="M80" s="40"/>
      <c r="N80" s="40"/>
      <c r="O80" s="40"/>
      <c r="P80" s="40"/>
      <c r="Q80" s="40"/>
      <c r="R80" s="40"/>
      <c r="S80" s="40"/>
      <c r="T80" s="40"/>
      <c r="U80" s="40"/>
      <c r="V80" s="40"/>
      <c r="W80" s="40"/>
      <c r="X80" s="40"/>
      <c r="Y80" s="40"/>
      <c r="Z80" s="40"/>
      <c r="AA80" s="40"/>
      <c r="AB80" s="40"/>
    </row>
    <row r="81">
      <c r="A81" s="51" t="s">
        <v>24</v>
      </c>
      <c r="B81" s="63">
        <v>3.0</v>
      </c>
      <c r="C81" s="63">
        <v>6.0</v>
      </c>
      <c r="D81" s="63">
        <v>8.0</v>
      </c>
      <c r="E81" s="63">
        <v>3.0</v>
      </c>
      <c r="F81" s="63">
        <v>4.0</v>
      </c>
      <c r="G81" s="64">
        <f>SUM(B81:F81)</f>
        <v>24</v>
      </c>
      <c r="H81" s="65">
        <f>E174</f>
        <v>36</v>
      </c>
      <c r="I81" s="66">
        <f>$G81/$G$1*30</f>
        <v>24.82758621</v>
      </c>
      <c r="J81" s="40"/>
      <c r="K81" s="40"/>
      <c r="L81" s="40"/>
      <c r="M81" s="40"/>
      <c r="N81" s="40"/>
      <c r="O81" s="40"/>
      <c r="P81" s="40"/>
      <c r="Q81" s="40"/>
      <c r="R81" s="40"/>
      <c r="S81" s="40"/>
      <c r="T81" s="40"/>
      <c r="U81" s="40"/>
      <c r="V81" s="40"/>
      <c r="W81" s="40"/>
      <c r="X81" s="40"/>
      <c r="Y81" s="40"/>
      <c r="Z81" s="40"/>
      <c r="AA81" s="40"/>
      <c r="AB81" s="40"/>
    </row>
    <row r="82">
      <c r="A82" s="51" t="s">
        <v>25</v>
      </c>
      <c r="B82" s="90">
        <f t="shared" ref="B82:F82" si="68">B76/B81</f>
        <v>61097.33333</v>
      </c>
      <c r="C82" s="90">
        <f t="shared" si="68"/>
        <v>70064.5</v>
      </c>
      <c r="D82" s="90">
        <f t="shared" si="68"/>
        <v>52324.125</v>
      </c>
      <c r="E82" s="90">
        <f t="shared" si="68"/>
        <v>139546</v>
      </c>
      <c r="F82" s="90">
        <f t="shared" si="68"/>
        <v>85507.5</v>
      </c>
      <c r="G82" s="77">
        <f t="shared" ref="G82:G83" si="71">G76/G$81</f>
        <v>74289.16667</v>
      </c>
      <c r="H82" s="91">
        <f t="shared" ref="H82:I82" si="69">H76/H81</f>
        <v>37500</v>
      </c>
      <c r="I82" s="71">
        <f t="shared" si="69"/>
        <v>74289.16667</v>
      </c>
      <c r="J82" s="40"/>
      <c r="K82" s="40"/>
      <c r="L82" s="40"/>
      <c r="M82" s="40"/>
      <c r="N82" s="40"/>
      <c r="O82" s="40"/>
      <c r="P82" s="40"/>
      <c r="Q82" s="40"/>
      <c r="R82" s="40"/>
      <c r="S82" s="40"/>
      <c r="T82" s="40"/>
      <c r="U82" s="40"/>
      <c r="V82" s="40"/>
      <c r="W82" s="40"/>
      <c r="X82" s="40"/>
      <c r="Y82" s="40"/>
      <c r="Z82" s="40"/>
      <c r="AA82" s="40"/>
      <c r="AB82" s="40"/>
    </row>
    <row r="83">
      <c r="A83" s="51" t="s">
        <v>26</v>
      </c>
      <c r="B83" s="59">
        <f t="shared" ref="B83:F83" si="70">B82/$B$1</f>
        <v>41.0049217</v>
      </c>
      <c r="C83" s="59">
        <f t="shared" si="70"/>
        <v>47.02315436</v>
      </c>
      <c r="D83" s="59">
        <f t="shared" si="70"/>
        <v>35.11686242</v>
      </c>
      <c r="E83" s="59">
        <f t="shared" si="70"/>
        <v>93.65503356</v>
      </c>
      <c r="F83" s="59">
        <f t="shared" si="70"/>
        <v>57.38758389</v>
      </c>
      <c r="G83" s="60">
        <f t="shared" si="71"/>
        <v>49.85850112</v>
      </c>
      <c r="H83" s="87">
        <f>H82/$B$1</f>
        <v>25.16778523</v>
      </c>
      <c r="I83" s="73"/>
      <c r="J83" s="40"/>
      <c r="K83" s="40"/>
      <c r="L83" s="40"/>
      <c r="M83" s="40"/>
      <c r="N83" s="40"/>
      <c r="O83" s="40"/>
      <c r="P83" s="40"/>
      <c r="Q83" s="40"/>
      <c r="R83" s="40"/>
      <c r="S83" s="40"/>
      <c r="T83" s="40"/>
      <c r="U83" s="40"/>
      <c r="V83" s="40"/>
      <c r="W83" s="40"/>
      <c r="X83" s="40"/>
      <c r="Y83" s="40"/>
      <c r="Z83" s="40"/>
      <c r="AA83" s="40"/>
      <c r="AB83" s="40"/>
    </row>
    <row r="84">
      <c r="A84" s="51" t="s">
        <v>27</v>
      </c>
      <c r="B84" s="74">
        <f t="shared" ref="B84:I84" si="72">B81/B78</f>
        <v>0.12</v>
      </c>
      <c r="C84" s="74">
        <f t="shared" si="72"/>
        <v>0.0652173913</v>
      </c>
      <c r="D84" s="74">
        <f t="shared" si="72"/>
        <v>0.09638554217</v>
      </c>
      <c r="E84" s="74">
        <f t="shared" si="72"/>
        <v>0.04761904762</v>
      </c>
      <c r="F84" s="74">
        <f t="shared" si="72"/>
        <v>0.07272727273</v>
      </c>
      <c r="G84" s="75">
        <f t="shared" si="72"/>
        <v>0.07547169811</v>
      </c>
      <c r="H84" s="92">
        <f t="shared" si="72"/>
        <v>0.08</v>
      </c>
      <c r="I84" s="73">
        <f t="shared" si="72"/>
        <v>0.07547169811</v>
      </c>
      <c r="J84" s="40"/>
      <c r="K84" s="40"/>
      <c r="L84" s="40"/>
      <c r="M84" s="40"/>
      <c r="N84" s="40"/>
      <c r="O84" s="40"/>
      <c r="P84" s="40"/>
      <c r="Q84" s="40"/>
      <c r="R84" s="40"/>
      <c r="S84" s="40"/>
      <c r="T84" s="40"/>
      <c r="U84" s="40"/>
      <c r="V84" s="40"/>
      <c r="W84" s="40"/>
      <c r="X84" s="40"/>
      <c r="Y84" s="40"/>
      <c r="Z84" s="40"/>
      <c r="AA84" s="40"/>
      <c r="AB84" s="40"/>
    </row>
    <row r="85">
      <c r="A85" s="51" t="s">
        <v>28</v>
      </c>
      <c r="B85" s="63"/>
      <c r="C85" s="63">
        <v>0.0</v>
      </c>
      <c r="D85" s="63"/>
      <c r="E85" s="69"/>
      <c r="F85" s="69"/>
      <c r="G85" s="64">
        <f>SUM(B85:D85)</f>
        <v>0</v>
      </c>
      <c r="H85" s="78"/>
      <c r="I85" s="79">
        <f>$G85/$G$1*30</f>
        <v>0</v>
      </c>
      <c r="J85" s="40"/>
      <c r="K85" s="40"/>
      <c r="L85" s="40"/>
      <c r="M85" s="40"/>
      <c r="N85" s="40"/>
      <c r="O85" s="40"/>
      <c r="P85" s="40"/>
      <c r="Q85" s="40"/>
      <c r="R85" s="40"/>
      <c r="S85" s="40"/>
      <c r="T85" s="40"/>
      <c r="U85" s="40"/>
      <c r="V85" s="40"/>
      <c r="W85" s="40"/>
      <c r="X85" s="40"/>
      <c r="Y85" s="40"/>
      <c r="Z85" s="40"/>
      <c r="AA85" s="40"/>
      <c r="AB85" s="40"/>
    </row>
    <row r="86">
      <c r="A86" s="51" t="s">
        <v>29</v>
      </c>
      <c r="B86" s="69"/>
      <c r="C86" s="69"/>
      <c r="D86" s="69"/>
      <c r="E86" s="69"/>
      <c r="F86" s="69"/>
      <c r="G86" s="64"/>
      <c r="H86" s="78"/>
      <c r="I86" s="93" t="str">
        <f>I76/I85</f>
        <v>#DIV/0!</v>
      </c>
      <c r="J86" s="40"/>
      <c r="K86" s="40"/>
      <c r="L86" s="40"/>
      <c r="M86" s="40"/>
      <c r="N86" s="40"/>
      <c r="O86" s="40"/>
      <c r="P86" s="40"/>
      <c r="Q86" s="40"/>
      <c r="R86" s="40"/>
      <c r="S86" s="40"/>
      <c r="T86" s="40"/>
      <c r="U86" s="40"/>
      <c r="V86" s="40"/>
      <c r="W86" s="40"/>
      <c r="X86" s="40"/>
      <c r="Y86" s="40"/>
      <c r="Z86" s="40"/>
      <c r="AA86" s="40"/>
      <c r="AB86" s="40"/>
    </row>
    <row r="87">
      <c r="A87" s="51" t="s">
        <v>30</v>
      </c>
      <c r="B87" s="59">
        <f t="shared" ref="B87:D87" si="73">B86/$B$1</f>
        <v>0</v>
      </c>
      <c r="C87" s="59">
        <f t="shared" si="73"/>
        <v>0</v>
      </c>
      <c r="D87" s="59">
        <f t="shared" si="73"/>
        <v>0</v>
      </c>
      <c r="E87" s="69"/>
      <c r="F87" s="69"/>
      <c r="G87" s="64"/>
      <c r="H87" s="78"/>
      <c r="I87" s="80"/>
      <c r="J87" s="40"/>
      <c r="K87" s="40"/>
      <c r="L87" s="40"/>
      <c r="M87" s="40"/>
      <c r="N87" s="40"/>
      <c r="O87" s="40"/>
      <c r="P87" s="40"/>
      <c r="Q87" s="40"/>
      <c r="R87" s="40"/>
      <c r="S87" s="40"/>
      <c r="T87" s="40"/>
      <c r="U87" s="40"/>
      <c r="V87" s="40"/>
      <c r="W87" s="40"/>
      <c r="X87" s="40"/>
      <c r="Y87" s="40"/>
      <c r="Z87" s="40"/>
      <c r="AA87" s="40"/>
      <c r="AB87" s="40"/>
    </row>
    <row r="88">
      <c r="A88" s="51" t="s">
        <v>32</v>
      </c>
      <c r="B88" s="69"/>
      <c r="C88" s="69"/>
      <c r="D88" s="69"/>
      <c r="E88" s="69"/>
      <c r="F88" s="69"/>
      <c r="G88" s="64"/>
      <c r="H88" s="78"/>
      <c r="I88" s="80">
        <f>I85/I78</f>
        <v>0</v>
      </c>
      <c r="J88" s="40"/>
      <c r="K88" s="40"/>
      <c r="L88" s="40"/>
      <c r="M88" s="40"/>
      <c r="N88" s="40"/>
      <c r="O88" s="40"/>
      <c r="P88" s="40"/>
      <c r="Q88" s="40"/>
      <c r="R88" s="40"/>
      <c r="S88" s="40"/>
      <c r="T88" s="40"/>
      <c r="U88" s="40"/>
      <c r="V88" s="40"/>
      <c r="W88" s="40"/>
      <c r="X88" s="40"/>
      <c r="Y88" s="40"/>
      <c r="Z88" s="40"/>
      <c r="AA88" s="40"/>
      <c r="AB88" s="40"/>
    </row>
    <row r="89">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row>
    <row r="90">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row>
    <row r="91">
      <c r="A91" s="97" t="s">
        <v>58</v>
      </c>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row>
    <row r="92">
      <c r="A92" s="7" t="s">
        <v>3</v>
      </c>
      <c r="B92" s="44" t="str">
        <f t="shared" ref="B92:F92" si="74">B3</f>
        <v>01/12 al 02/12</v>
      </c>
      <c r="C92" s="44" t="str">
        <f t="shared" si="74"/>
        <v>03/12 al 09/12</v>
      </c>
      <c r="D92" s="44" t="str">
        <f t="shared" si="74"/>
        <v>10/12 al 16/12</v>
      </c>
      <c r="E92" s="44" t="str">
        <f t="shared" si="74"/>
        <v>17/12 al 23/12</v>
      </c>
      <c r="F92" s="44" t="str">
        <f t="shared" si="74"/>
        <v>24/12 al 31/12</v>
      </c>
      <c r="G92" s="44" t="s">
        <v>43</v>
      </c>
      <c r="H92" s="45" t="s">
        <v>17</v>
      </c>
      <c r="I92" s="40"/>
      <c r="J92" s="40"/>
      <c r="K92" s="40"/>
      <c r="L92" s="40"/>
      <c r="M92" s="40"/>
      <c r="N92" s="40"/>
      <c r="O92" s="40"/>
      <c r="P92" s="40"/>
      <c r="Q92" s="40"/>
      <c r="R92" s="40"/>
      <c r="S92" s="40"/>
      <c r="T92" s="40"/>
      <c r="U92" s="40"/>
      <c r="V92" s="40"/>
      <c r="W92" s="40"/>
      <c r="X92" s="40"/>
      <c r="Y92" s="40"/>
      <c r="Z92" s="40"/>
      <c r="AA92" s="40"/>
      <c r="AB92" s="40"/>
    </row>
    <row r="93">
      <c r="A93" s="51" t="s">
        <v>19</v>
      </c>
      <c r="B93" s="67"/>
      <c r="C93" s="67"/>
      <c r="D93" s="67"/>
      <c r="E93" s="69"/>
      <c r="F93" s="69"/>
      <c r="G93" s="77">
        <f t="shared" ref="G93:G94" si="75">SUM(B93:F93)</f>
        <v>0</v>
      </c>
      <c r="H93" s="85"/>
      <c r="I93" s="40"/>
      <c r="J93" s="40"/>
      <c r="K93" s="40"/>
      <c r="L93" s="40"/>
      <c r="M93" s="40"/>
      <c r="N93" s="40"/>
      <c r="O93" s="40"/>
      <c r="P93" s="40"/>
      <c r="Q93" s="40"/>
      <c r="R93" s="40"/>
      <c r="S93" s="40"/>
      <c r="T93" s="40"/>
      <c r="U93" s="40"/>
      <c r="V93" s="40"/>
      <c r="W93" s="40"/>
      <c r="X93" s="40"/>
      <c r="Y93" s="40"/>
      <c r="Z93" s="40"/>
      <c r="AA93" s="40"/>
      <c r="AB93" s="40"/>
    </row>
    <row r="94">
      <c r="A94" s="51" t="s">
        <v>21</v>
      </c>
      <c r="B94" s="63"/>
      <c r="C94" s="63"/>
      <c r="D94" s="63"/>
      <c r="E94" s="69"/>
      <c r="F94" s="69"/>
      <c r="G94" s="64">
        <f t="shared" si="75"/>
        <v>0</v>
      </c>
      <c r="H94" s="98"/>
      <c r="I94" s="40"/>
      <c r="J94" s="40"/>
      <c r="K94" s="40"/>
      <c r="L94" s="40"/>
      <c r="M94" s="40"/>
      <c r="N94" s="40"/>
      <c r="O94" s="40"/>
      <c r="P94" s="40"/>
      <c r="Q94" s="40"/>
      <c r="R94" s="40"/>
      <c r="S94" s="40"/>
      <c r="T94" s="40"/>
      <c r="U94" s="40"/>
      <c r="V94" s="40"/>
      <c r="W94" s="40"/>
      <c r="X94" s="40"/>
      <c r="Y94" s="40"/>
      <c r="Z94" s="40"/>
      <c r="AA94" s="40"/>
      <c r="AB94" s="40"/>
    </row>
    <row r="95">
      <c r="A95" s="51" t="s">
        <v>22</v>
      </c>
      <c r="B95" s="69" t="str">
        <f t="shared" ref="B95:D95" si="76">B93/B94</f>
        <v>#DIV/0!</v>
      </c>
      <c r="C95" s="69" t="str">
        <f t="shared" si="76"/>
        <v>#DIV/0!</v>
      </c>
      <c r="D95" s="69" t="str">
        <f t="shared" si="76"/>
        <v>#DIV/0!</v>
      </c>
      <c r="E95" s="69"/>
      <c r="F95" s="69"/>
      <c r="G95" s="64" t="str">
        <f t="shared" ref="G95:H95" si="77">G93/G94</f>
        <v>#DIV/0!</v>
      </c>
      <c r="H95" s="78" t="str">
        <f t="shared" si="77"/>
        <v>#DIV/0!</v>
      </c>
      <c r="I95" s="40"/>
      <c r="J95" s="40"/>
      <c r="K95" s="40"/>
      <c r="L95" s="40"/>
      <c r="M95" s="40"/>
      <c r="N95" s="40"/>
      <c r="O95" s="40"/>
      <c r="P95" s="40"/>
      <c r="Q95" s="40"/>
      <c r="R95" s="40"/>
      <c r="S95" s="40"/>
      <c r="T95" s="40"/>
      <c r="U95" s="40"/>
      <c r="V95" s="40"/>
      <c r="W95" s="40"/>
      <c r="X95" s="40"/>
      <c r="Y95" s="40"/>
      <c r="Z95" s="40"/>
      <c r="AA95" s="40"/>
      <c r="AB95" s="40"/>
    </row>
    <row r="96">
      <c r="A96" s="51" t="s">
        <v>24</v>
      </c>
      <c r="B96" s="63">
        <v>0.0</v>
      </c>
      <c r="C96" s="63"/>
      <c r="D96" s="63"/>
      <c r="E96" s="69"/>
      <c r="F96" s="69"/>
      <c r="G96" s="64">
        <f>SUM(B96:D96)</f>
        <v>0</v>
      </c>
      <c r="H96" s="98"/>
      <c r="I96" s="40"/>
      <c r="J96" s="40"/>
      <c r="K96" s="40"/>
      <c r="L96" s="40"/>
      <c r="M96" s="40"/>
      <c r="N96" s="40"/>
      <c r="O96" s="40"/>
      <c r="P96" s="40"/>
      <c r="Q96" s="40"/>
      <c r="R96" s="40"/>
      <c r="S96" s="40"/>
      <c r="T96" s="40"/>
      <c r="U96" s="40"/>
      <c r="V96" s="40"/>
      <c r="W96" s="40"/>
      <c r="X96" s="40"/>
      <c r="Y96" s="40"/>
      <c r="Z96" s="40"/>
      <c r="AA96" s="40"/>
      <c r="AB96" s="40"/>
    </row>
    <row r="97">
      <c r="A97" s="51" t="s">
        <v>25</v>
      </c>
      <c r="B97" s="69" t="str">
        <f t="shared" ref="B97:D97" si="78">B93/B96</f>
        <v>#DIV/0!</v>
      </c>
      <c r="C97" s="69" t="str">
        <f t="shared" si="78"/>
        <v>#DIV/0!</v>
      </c>
      <c r="D97" s="69" t="str">
        <f t="shared" si="78"/>
        <v>#DIV/0!</v>
      </c>
      <c r="E97" s="69"/>
      <c r="F97" s="69"/>
      <c r="G97" s="64" t="str">
        <f t="shared" ref="G97:H97" si="79">G93/G96</f>
        <v>#DIV/0!</v>
      </c>
      <c r="H97" s="78" t="str">
        <f t="shared" si="79"/>
        <v>#DIV/0!</v>
      </c>
      <c r="I97" s="40"/>
      <c r="J97" s="40"/>
      <c r="K97" s="40"/>
      <c r="L97" s="40"/>
      <c r="M97" s="40"/>
      <c r="N97" s="40"/>
      <c r="O97" s="40"/>
      <c r="P97" s="40"/>
      <c r="Q97" s="40"/>
      <c r="R97" s="40"/>
      <c r="S97" s="40"/>
      <c r="T97" s="40"/>
      <c r="U97" s="40"/>
      <c r="V97" s="40"/>
      <c r="W97" s="40"/>
      <c r="X97" s="40"/>
      <c r="Y97" s="40"/>
      <c r="Z97" s="40"/>
      <c r="AA97" s="40"/>
      <c r="AB97" s="40"/>
    </row>
    <row r="98">
      <c r="A98" s="51" t="s">
        <v>27</v>
      </c>
      <c r="B98" s="74" t="str">
        <f t="shared" ref="B98:D98" si="80">B96/B94</f>
        <v>#DIV/0!</v>
      </c>
      <c r="C98" s="74" t="str">
        <f t="shared" si="80"/>
        <v>#DIV/0!</v>
      </c>
      <c r="D98" s="74" t="str">
        <f t="shared" si="80"/>
        <v>#DIV/0!</v>
      </c>
      <c r="E98" s="69"/>
      <c r="F98" s="69"/>
      <c r="G98" s="75" t="str">
        <f t="shared" ref="G98:H98" si="81">G96/G94</f>
        <v>#DIV/0!</v>
      </c>
      <c r="H98" s="92" t="str">
        <f t="shared" si="81"/>
        <v>#DIV/0!</v>
      </c>
      <c r="I98" s="40"/>
      <c r="J98" s="40"/>
      <c r="K98" s="40"/>
      <c r="L98" s="40"/>
      <c r="M98" s="40"/>
      <c r="N98" s="40"/>
      <c r="O98" s="40"/>
      <c r="P98" s="40"/>
      <c r="Q98" s="40"/>
      <c r="R98" s="40"/>
      <c r="S98" s="40"/>
      <c r="T98" s="40"/>
      <c r="U98" s="40"/>
      <c r="V98" s="40"/>
      <c r="W98" s="40"/>
      <c r="X98" s="40"/>
      <c r="Y98" s="40"/>
      <c r="Z98" s="40"/>
      <c r="AA98" s="40"/>
      <c r="AB98" s="40"/>
    </row>
    <row r="99">
      <c r="A99" s="51" t="s">
        <v>28</v>
      </c>
      <c r="B99" s="63">
        <v>0.0</v>
      </c>
      <c r="C99" s="63">
        <v>0.0</v>
      </c>
      <c r="D99" s="69"/>
      <c r="E99" s="69"/>
      <c r="F99" s="69"/>
      <c r="G99" s="64">
        <f>SUM(B99:D99)</f>
        <v>0</v>
      </c>
      <c r="H99" s="78"/>
      <c r="I99" s="40"/>
      <c r="J99" s="40"/>
      <c r="K99" s="40"/>
      <c r="L99" s="40"/>
      <c r="M99" s="40"/>
      <c r="N99" s="40"/>
      <c r="O99" s="40"/>
      <c r="P99" s="40"/>
      <c r="Q99" s="40"/>
      <c r="R99" s="40"/>
      <c r="S99" s="40"/>
      <c r="T99" s="40"/>
      <c r="U99" s="40"/>
      <c r="V99" s="40"/>
      <c r="W99" s="40"/>
      <c r="X99" s="40"/>
      <c r="Y99" s="40"/>
      <c r="Z99" s="40"/>
      <c r="AA99" s="40"/>
      <c r="AB99" s="40"/>
    </row>
    <row r="100">
      <c r="A100" s="51" t="s">
        <v>29</v>
      </c>
      <c r="B100" s="69"/>
      <c r="C100" s="69"/>
      <c r="D100" s="69"/>
      <c r="E100" s="69"/>
      <c r="F100" s="69"/>
      <c r="G100" s="64"/>
      <c r="H100" s="78"/>
      <c r="I100" s="40"/>
      <c r="J100" s="40"/>
      <c r="K100" s="40"/>
      <c r="L100" s="40"/>
      <c r="M100" s="40"/>
      <c r="N100" s="40"/>
      <c r="O100" s="40"/>
      <c r="P100" s="40"/>
      <c r="Q100" s="40"/>
      <c r="R100" s="40"/>
      <c r="S100" s="40"/>
      <c r="T100" s="40"/>
      <c r="U100" s="40"/>
      <c r="V100" s="40"/>
      <c r="W100" s="40"/>
      <c r="X100" s="40"/>
      <c r="Y100" s="40"/>
      <c r="Z100" s="40"/>
      <c r="AA100" s="40"/>
      <c r="AB100" s="40"/>
    </row>
    <row r="101">
      <c r="A101" s="51" t="s">
        <v>32</v>
      </c>
      <c r="B101" s="69"/>
      <c r="C101" s="69"/>
      <c r="D101" s="69"/>
      <c r="E101" s="69"/>
      <c r="F101" s="69"/>
      <c r="G101" s="64"/>
      <c r="H101" s="78"/>
      <c r="I101" s="40"/>
      <c r="J101" s="40"/>
      <c r="K101" s="40"/>
      <c r="L101" s="40"/>
      <c r="M101" s="40"/>
      <c r="N101" s="40"/>
      <c r="O101" s="40"/>
      <c r="P101" s="40"/>
      <c r="Q101" s="40"/>
      <c r="R101" s="40"/>
      <c r="S101" s="40"/>
      <c r="T101" s="40"/>
      <c r="U101" s="40"/>
      <c r="V101" s="40"/>
      <c r="W101" s="40"/>
      <c r="X101" s="40"/>
      <c r="Y101" s="40"/>
      <c r="Z101" s="40"/>
      <c r="AA101" s="40"/>
      <c r="AB101" s="40"/>
    </row>
    <row r="102">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row>
    <row r="103">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row>
    <row r="104">
      <c r="A104" s="97" t="s">
        <v>59</v>
      </c>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row>
    <row r="105">
      <c r="A105" s="7" t="s">
        <v>3</v>
      </c>
      <c r="B105" s="44" t="str">
        <f t="shared" ref="B105:F105" si="82">B3</f>
        <v>01/12 al 02/12</v>
      </c>
      <c r="C105" s="44" t="str">
        <f t="shared" si="82"/>
        <v>03/12 al 09/12</v>
      </c>
      <c r="D105" s="44" t="str">
        <f t="shared" si="82"/>
        <v>10/12 al 16/12</v>
      </c>
      <c r="E105" s="44" t="str">
        <f t="shared" si="82"/>
        <v>17/12 al 23/12</v>
      </c>
      <c r="F105" s="44" t="str">
        <f t="shared" si="82"/>
        <v>24/12 al 31/12</v>
      </c>
      <c r="G105" s="44" t="s">
        <v>43</v>
      </c>
      <c r="H105" s="45" t="s">
        <v>17</v>
      </c>
      <c r="I105" s="47" t="s">
        <v>45</v>
      </c>
      <c r="J105" s="40"/>
      <c r="K105" s="40"/>
      <c r="L105" s="40"/>
      <c r="M105" s="40"/>
      <c r="N105" s="40"/>
      <c r="O105" s="40"/>
      <c r="P105" s="40"/>
      <c r="Q105" s="40"/>
      <c r="R105" s="40"/>
      <c r="S105" s="40"/>
      <c r="T105" s="40"/>
      <c r="U105" s="40"/>
      <c r="V105" s="40"/>
      <c r="W105" s="40"/>
      <c r="X105" s="40"/>
      <c r="Y105" s="40"/>
      <c r="Z105" s="40"/>
      <c r="AA105" s="40"/>
      <c r="AB105" s="40"/>
    </row>
    <row r="106">
      <c r="A106" s="51" t="s">
        <v>19</v>
      </c>
      <c r="B106" s="67">
        <f>47844+22407</f>
        <v>70251</v>
      </c>
      <c r="C106" s="67">
        <f>105894</f>
        <v>105894</v>
      </c>
      <c r="D106" s="67">
        <v>102982.0</v>
      </c>
      <c r="E106" s="67">
        <v>103063.0</v>
      </c>
      <c r="F106" s="67">
        <v>88519.0</v>
      </c>
      <c r="G106" s="77">
        <f t="shared" ref="G106:G108" si="84">SUM(B106:F106)</f>
        <v>470709</v>
      </c>
      <c r="H106" s="85">
        <f>F169</f>
        <v>450000</v>
      </c>
      <c r="I106" s="56">
        <f>$G106/$G$1*30</f>
        <v>486940.3448</v>
      </c>
      <c r="J106" s="86">
        <f>(H106-G106)/14</f>
        <v>-1479.214286</v>
      </c>
      <c r="K106" s="40"/>
      <c r="L106" s="40"/>
      <c r="M106" s="40"/>
      <c r="N106" s="40"/>
      <c r="O106" s="40"/>
      <c r="P106" s="40"/>
      <c r="Q106" s="40"/>
      <c r="R106" s="40"/>
      <c r="S106" s="40"/>
      <c r="T106" s="40"/>
      <c r="U106" s="40"/>
      <c r="V106" s="40"/>
      <c r="W106" s="40"/>
      <c r="X106" s="40"/>
      <c r="Y106" s="40"/>
      <c r="Z106" s="40"/>
      <c r="AA106" s="40"/>
      <c r="AB106" s="40"/>
    </row>
    <row r="107">
      <c r="A107" s="51" t="s">
        <v>20</v>
      </c>
      <c r="B107" s="59">
        <f t="shared" ref="B107:F107" si="83">B106/$B$1</f>
        <v>47.14832215</v>
      </c>
      <c r="C107" s="59">
        <f t="shared" si="83"/>
        <v>71.06979866</v>
      </c>
      <c r="D107" s="59">
        <f t="shared" si="83"/>
        <v>69.11543624</v>
      </c>
      <c r="E107" s="59">
        <f t="shared" si="83"/>
        <v>69.16979866</v>
      </c>
      <c r="F107" s="59">
        <f t="shared" si="83"/>
        <v>59.40872483</v>
      </c>
      <c r="G107" s="60">
        <f t="shared" si="84"/>
        <v>315.9120805</v>
      </c>
      <c r="H107" s="87">
        <f>H106/$B$1</f>
        <v>302.0134228</v>
      </c>
      <c r="I107" s="66"/>
      <c r="J107" s="40"/>
      <c r="K107" s="40"/>
      <c r="L107" s="40"/>
      <c r="M107" s="40"/>
      <c r="N107" s="40"/>
      <c r="O107" s="40"/>
      <c r="P107" s="40"/>
      <c r="Q107" s="40"/>
      <c r="R107" s="40"/>
      <c r="S107" s="40"/>
      <c r="T107" s="40"/>
      <c r="U107" s="40"/>
      <c r="V107" s="40"/>
      <c r="W107" s="40"/>
      <c r="X107" s="40"/>
      <c r="Y107" s="40"/>
      <c r="Z107" s="40"/>
      <c r="AA107" s="40"/>
      <c r="AB107" s="40"/>
    </row>
    <row r="108">
      <c r="A108" s="51" t="s">
        <v>21</v>
      </c>
      <c r="B108" s="63">
        <v>8.0</v>
      </c>
      <c r="C108" s="63">
        <v>27.0</v>
      </c>
      <c r="D108" s="63">
        <v>32.0</v>
      </c>
      <c r="E108" s="63">
        <v>21.0</v>
      </c>
      <c r="F108" s="63">
        <v>17.0</v>
      </c>
      <c r="G108" s="64">
        <f t="shared" si="84"/>
        <v>105</v>
      </c>
      <c r="H108" s="65">
        <f>F172</f>
        <v>150</v>
      </c>
      <c r="I108" s="66">
        <f>$G108/$G$1*30</f>
        <v>108.6206897</v>
      </c>
      <c r="J108" s="40"/>
      <c r="K108" s="40"/>
      <c r="L108" s="40"/>
      <c r="M108" s="40"/>
      <c r="N108" s="40"/>
      <c r="O108" s="40"/>
      <c r="P108" s="40"/>
      <c r="Q108" s="40"/>
      <c r="R108" s="40"/>
      <c r="S108" s="40"/>
      <c r="T108" s="40"/>
      <c r="U108" s="40"/>
      <c r="V108" s="40"/>
      <c r="W108" s="40"/>
      <c r="X108" s="40"/>
      <c r="Y108" s="40"/>
      <c r="Z108" s="40"/>
      <c r="AA108" s="40"/>
      <c r="AB108" s="40"/>
    </row>
    <row r="109">
      <c r="A109" s="51" t="s">
        <v>22</v>
      </c>
      <c r="B109" s="90">
        <f t="shared" ref="B109:F109" si="85">B106/B108</f>
        <v>8781.375</v>
      </c>
      <c r="C109" s="90">
        <f t="shared" si="85"/>
        <v>3922</v>
      </c>
      <c r="D109" s="90">
        <f t="shared" si="85"/>
        <v>3218.1875</v>
      </c>
      <c r="E109" s="90">
        <f t="shared" si="85"/>
        <v>4907.761905</v>
      </c>
      <c r="F109" s="90">
        <f t="shared" si="85"/>
        <v>5207</v>
      </c>
      <c r="G109" s="77">
        <f t="shared" ref="G109:G110" si="88">G106/G$108</f>
        <v>4482.942857</v>
      </c>
      <c r="H109" s="91">
        <f t="shared" ref="H109:I109" si="86">H106/H108</f>
        <v>3000</v>
      </c>
      <c r="I109" s="56">
        <f t="shared" si="86"/>
        <v>4482.942857</v>
      </c>
      <c r="J109" s="40"/>
      <c r="K109" s="40"/>
      <c r="L109" s="40"/>
      <c r="M109" s="40"/>
      <c r="N109" s="40"/>
      <c r="O109" s="40"/>
      <c r="P109" s="40"/>
      <c r="Q109" s="40"/>
      <c r="R109" s="40"/>
      <c r="S109" s="40"/>
      <c r="T109" s="40"/>
      <c r="U109" s="40"/>
      <c r="V109" s="40"/>
      <c r="W109" s="40"/>
      <c r="X109" s="40"/>
      <c r="Y109" s="40"/>
      <c r="Z109" s="40"/>
      <c r="AA109" s="40"/>
      <c r="AB109" s="40"/>
    </row>
    <row r="110">
      <c r="A110" s="51" t="s">
        <v>23</v>
      </c>
      <c r="B110" s="59">
        <f t="shared" ref="B110:F110" si="87">B109/$B$1</f>
        <v>5.893540268</v>
      </c>
      <c r="C110" s="59">
        <f t="shared" si="87"/>
        <v>2.632214765</v>
      </c>
      <c r="D110" s="59">
        <f t="shared" si="87"/>
        <v>2.159857383</v>
      </c>
      <c r="E110" s="59">
        <f t="shared" si="87"/>
        <v>3.293799936</v>
      </c>
      <c r="F110" s="59">
        <f t="shared" si="87"/>
        <v>3.494630872</v>
      </c>
      <c r="G110" s="60">
        <f t="shared" si="88"/>
        <v>3.008686481</v>
      </c>
      <c r="H110" s="87">
        <f>H109/$B$1</f>
        <v>2.013422819</v>
      </c>
      <c r="I110" s="66"/>
      <c r="J110" s="40"/>
      <c r="K110" s="40"/>
      <c r="L110" s="40"/>
      <c r="M110" s="40"/>
      <c r="N110" s="40"/>
      <c r="O110" s="40"/>
      <c r="P110" s="40"/>
      <c r="Q110" s="40"/>
      <c r="R110" s="40"/>
      <c r="S110" s="40"/>
      <c r="T110" s="40"/>
      <c r="U110" s="40"/>
      <c r="V110" s="40"/>
      <c r="W110" s="40"/>
      <c r="X110" s="40"/>
      <c r="Y110" s="40"/>
      <c r="Z110" s="40"/>
      <c r="AA110" s="40"/>
      <c r="AB110" s="40"/>
    </row>
    <row r="111">
      <c r="A111" s="51" t="s">
        <v>24</v>
      </c>
      <c r="B111" s="63">
        <v>0.0</v>
      </c>
      <c r="C111" s="63">
        <v>3.0</v>
      </c>
      <c r="D111" s="63">
        <v>3.0</v>
      </c>
      <c r="E111" s="63">
        <v>4.0</v>
      </c>
      <c r="F111" s="63">
        <v>3.0</v>
      </c>
      <c r="G111" s="64">
        <f>SUM(B111:F111)</f>
        <v>13</v>
      </c>
      <c r="H111" s="65">
        <f>F174</f>
        <v>9</v>
      </c>
      <c r="I111" s="66">
        <f>$G111/$G$1*30</f>
        <v>13.44827586</v>
      </c>
      <c r="J111" s="40"/>
      <c r="K111" s="40"/>
      <c r="L111" s="40"/>
      <c r="M111" s="40"/>
      <c r="N111" s="40"/>
      <c r="O111" s="40"/>
      <c r="P111" s="40"/>
      <c r="Q111" s="40"/>
      <c r="R111" s="40"/>
      <c r="S111" s="40"/>
      <c r="T111" s="40"/>
      <c r="U111" s="40"/>
      <c r="V111" s="40"/>
      <c r="W111" s="40"/>
      <c r="X111" s="40"/>
      <c r="Y111" s="40"/>
      <c r="Z111" s="40"/>
      <c r="AA111" s="40"/>
      <c r="AB111" s="40"/>
    </row>
    <row r="112">
      <c r="A112" s="51" t="s">
        <v>25</v>
      </c>
      <c r="B112" s="63" t="str">
        <f t="shared" ref="B112:F112" si="89">B106/B111</f>
        <v>#DIV/0!</v>
      </c>
      <c r="C112" s="67">
        <f t="shared" si="89"/>
        <v>35298</v>
      </c>
      <c r="D112" s="67">
        <f t="shared" si="89"/>
        <v>34327.33333</v>
      </c>
      <c r="E112" s="67">
        <f t="shared" si="89"/>
        <v>25765.75</v>
      </c>
      <c r="F112" s="67">
        <f t="shared" si="89"/>
        <v>29506.33333</v>
      </c>
      <c r="G112" s="77">
        <f t="shared" ref="G112:G113" si="92">G106/G$111</f>
        <v>36208.38462</v>
      </c>
      <c r="H112" s="91">
        <f t="shared" ref="H112:I112" si="90">H106/H111</f>
        <v>50000</v>
      </c>
      <c r="I112" s="71">
        <f t="shared" si="90"/>
        <v>36208.38462</v>
      </c>
      <c r="J112" s="40"/>
      <c r="K112" s="40"/>
      <c r="L112" s="40"/>
      <c r="M112" s="40"/>
      <c r="N112" s="40"/>
      <c r="O112" s="40"/>
      <c r="P112" s="40"/>
      <c r="Q112" s="40"/>
      <c r="R112" s="40"/>
      <c r="S112" s="40"/>
      <c r="T112" s="40"/>
      <c r="U112" s="40"/>
      <c r="V112" s="40"/>
      <c r="W112" s="40"/>
      <c r="X112" s="40"/>
      <c r="Y112" s="40"/>
      <c r="Z112" s="40"/>
      <c r="AA112" s="40"/>
      <c r="AB112" s="40"/>
    </row>
    <row r="113">
      <c r="A113" s="51" t="s">
        <v>26</v>
      </c>
      <c r="B113" s="59" t="str">
        <f t="shared" ref="B113:F113" si="91">B112/$B$1</f>
        <v>#DIV/0!</v>
      </c>
      <c r="C113" s="59">
        <f t="shared" si="91"/>
        <v>23.68993289</v>
      </c>
      <c r="D113" s="59">
        <f t="shared" si="91"/>
        <v>23.03847875</v>
      </c>
      <c r="E113" s="59">
        <f t="shared" si="91"/>
        <v>17.29244966</v>
      </c>
      <c r="F113" s="59">
        <f t="shared" si="91"/>
        <v>19.80290828</v>
      </c>
      <c r="G113" s="60">
        <f t="shared" si="92"/>
        <v>24.30092927</v>
      </c>
      <c r="H113" s="87">
        <f>H112/$B$1</f>
        <v>33.55704698</v>
      </c>
      <c r="I113" s="73"/>
      <c r="J113" s="40"/>
      <c r="K113" s="40"/>
      <c r="L113" s="40"/>
      <c r="M113" s="40"/>
      <c r="N113" s="40"/>
      <c r="O113" s="40"/>
      <c r="P113" s="40"/>
      <c r="Q113" s="40"/>
      <c r="R113" s="40"/>
      <c r="S113" s="40"/>
      <c r="T113" s="40"/>
      <c r="U113" s="40"/>
      <c r="V113" s="40"/>
      <c r="W113" s="40"/>
      <c r="X113" s="40"/>
      <c r="Y113" s="40"/>
      <c r="Z113" s="40"/>
      <c r="AA113" s="40"/>
      <c r="AB113" s="40"/>
    </row>
    <row r="114">
      <c r="A114" s="51" t="s">
        <v>27</v>
      </c>
      <c r="B114" s="74"/>
      <c r="C114" s="74">
        <f t="shared" ref="C114:I114" si="93">C111/C108</f>
        <v>0.1111111111</v>
      </c>
      <c r="D114" s="74">
        <f t="shared" si="93"/>
        <v>0.09375</v>
      </c>
      <c r="E114" s="74">
        <f t="shared" si="93"/>
        <v>0.1904761905</v>
      </c>
      <c r="F114" s="74">
        <f t="shared" si="93"/>
        <v>0.1764705882</v>
      </c>
      <c r="G114" s="75">
        <f t="shared" si="93"/>
        <v>0.1238095238</v>
      </c>
      <c r="H114" s="92">
        <f t="shared" si="93"/>
        <v>0.06</v>
      </c>
      <c r="I114" s="73">
        <f t="shared" si="93"/>
        <v>0.1238095238</v>
      </c>
      <c r="J114" s="40"/>
      <c r="K114" s="40"/>
      <c r="L114" s="40"/>
      <c r="M114" s="40"/>
      <c r="N114" s="40"/>
      <c r="O114" s="40"/>
      <c r="P114" s="40"/>
      <c r="Q114" s="40"/>
      <c r="R114" s="40"/>
      <c r="S114" s="40"/>
      <c r="T114" s="40"/>
      <c r="U114" s="40"/>
      <c r="V114" s="40"/>
      <c r="W114" s="40"/>
      <c r="X114" s="40"/>
      <c r="Y114" s="40"/>
      <c r="Z114" s="40"/>
      <c r="AA114" s="40"/>
      <c r="AB114" s="40"/>
    </row>
    <row r="115">
      <c r="A115" s="51" t="s">
        <v>28</v>
      </c>
      <c r="B115" s="63"/>
      <c r="C115" s="63"/>
      <c r="D115" s="69"/>
      <c r="E115" s="69"/>
      <c r="F115" s="69"/>
      <c r="G115" s="64">
        <f>SUM(B115:D115)</f>
        <v>0</v>
      </c>
      <c r="H115" s="78"/>
      <c r="I115" s="79">
        <f>$G115/$G$1*30</f>
        <v>0</v>
      </c>
      <c r="J115" s="40"/>
      <c r="K115" s="40"/>
      <c r="L115" s="40"/>
      <c r="M115" s="40"/>
      <c r="N115" s="40"/>
      <c r="O115" s="40"/>
      <c r="P115" s="40"/>
      <c r="Q115" s="40"/>
      <c r="R115" s="40"/>
      <c r="S115" s="40"/>
      <c r="T115" s="40"/>
      <c r="U115" s="40"/>
      <c r="V115" s="40"/>
      <c r="W115" s="40"/>
      <c r="X115" s="40"/>
      <c r="Y115" s="40"/>
      <c r="Z115" s="40"/>
      <c r="AA115" s="40"/>
      <c r="AB115" s="40"/>
    </row>
    <row r="116">
      <c r="A116" s="51" t="s">
        <v>29</v>
      </c>
      <c r="B116" s="69"/>
      <c r="C116" s="69"/>
      <c r="D116" s="69"/>
      <c r="E116" s="69"/>
      <c r="F116" s="69"/>
      <c r="G116" s="64"/>
      <c r="H116" s="78"/>
      <c r="I116" s="93" t="str">
        <f>I106/I115</f>
        <v>#DIV/0!</v>
      </c>
      <c r="J116" s="40"/>
      <c r="K116" s="40"/>
      <c r="L116" s="40"/>
      <c r="M116" s="40"/>
      <c r="N116" s="40"/>
      <c r="O116" s="40"/>
      <c r="P116" s="40"/>
      <c r="Q116" s="40"/>
      <c r="R116" s="40"/>
      <c r="S116" s="40"/>
      <c r="T116" s="40"/>
      <c r="U116" s="40"/>
      <c r="V116" s="40"/>
      <c r="W116" s="40"/>
      <c r="X116" s="40"/>
      <c r="Y116" s="40"/>
      <c r="Z116" s="40"/>
      <c r="AA116" s="40"/>
      <c r="AB116" s="40"/>
    </row>
    <row r="117">
      <c r="A117" s="51" t="s">
        <v>30</v>
      </c>
      <c r="B117" s="59">
        <f t="shared" ref="B117:D117" si="94">B116/$B$1</f>
        <v>0</v>
      </c>
      <c r="C117" s="59">
        <f t="shared" si="94"/>
        <v>0</v>
      </c>
      <c r="D117" s="59">
        <f t="shared" si="94"/>
        <v>0</v>
      </c>
      <c r="E117" s="69"/>
      <c r="F117" s="69"/>
      <c r="G117" s="64"/>
      <c r="H117" s="78"/>
      <c r="I117" s="80"/>
      <c r="J117" s="40"/>
      <c r="K117" s="40"/>
      <c r="L117" s="40"/>
      <c r="M117" s="40"/>
      <c r="N117" s="40"/>
      <c r="O117" s="40"/>
      <c r="P117" s="40"/>
      <c r="Q117" s="40"/>
      <c r="R117" s="40"/>
      <c r="S117" s="40"/>
      <c r="T117" s="40"/>
      <c r="U117" s="40"/>
      <c r="V117" s="40"/>
      <c r="W117" s="40"/>
      <c r="X117" s="40"/>
      <c r="Y117" s="40"/>
      <c r="Z117" s="40"/>
      <c r="AA117" s="40"/>
      <c r="AB117" s="40"/>
    </row>
    <row r="118">
      <c r="A118" s="51" t="s">
        <v>32</v>
      </c>
      <c r="B118" s="69"/>
      <c r="C118" s="69"/>
      <c r="D118" s="69"/>
      <c r="E118" s="69"/>
      <c r="F118" s="69"/>
      <c r="G118" s="64"/>
      <c r="H118" s="78"/>
      <c r="I118" s="80">
        <f>I115/I108</f>
        <v>0</v>
      </c>
      <c r="J118" s="40"/>
      <c r="K118" s="40"/>
      <c r="L118" s="40"/>
      <c r="M118" s="40"/>
      <c r="N118" s="40"/>
      <c r="O118" s="40"/>
      <c r="P118" s="40"/>
      <c r="Q118" s="40"/>
      <c r="R118" s="40"/>
      <c r="S118" s="40"/>
      <c r="T118" s="40"/>
      <c r="U118" s="40"/>
      <c r="V118" s="40"/>
      <c r="W118" s="40"/>
      <c r="X118" s="40"/>
      <c r="Y118" s="40"/>
      <c r="Z118" s="40"/>
      <c r="AA118" s="40"/>
      <c r="AB118" s="40"/>
    </row>
    <row r="119">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row>
    <row r="120">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row>
    <row r="121">
      <c r="A121" s="99" t="s">
        <v>60</v>
      </c>
      <c r="B121" s="40"/>
      <c r="C121" s="40"/>
      <c r="D121" s="40"/>
      <c r="E121" s="40"/>
      <c r="F121" s="40"/>
      <c r="G121" s="40"/>
      <c r="H121" s="40"/>
      <c r="I121" s="40"/>
      <c r="J121" s="40"/>
      <c r="K121" s="48"/>
      <c r="L121" s="49"/>
      <c r="M121" s="49"/>
      <c r="N121" s="49"/>
      <c r="O121" s="49"/>
      <c r="P121" s="49"/>
      <c r="Q121" s="50"/>
      <c r="R121" s="40"/>
      <c r="S121" s="40"/>
      <c r="T121" s="40"/>
      <c r="U121" s="40"/>
      <c r="V121" s="40"/>
      <c r="W121" s="40"/>
      <c r="X121" s="40"/>
      <c r="Y121" s="40"/>
      <c r="Z121" s="40"/>
      <c r="AA121" s="40"/>
      <c r="AB121" s="40"/>
    </row>
    <row r="122">
      <c r="A122" s="7" t="s">
        <v>3</v>
      </c>
      <c r="B122" s="44" t="str">
        <f t="shared" ref="B122:F122" si="95">B3</f>
        <v>01/12 al 02/12</v>
      </c>
      <c r="C122" s="44" t="str">
        <f t="shared" si="95"/>
        <v>03/12 al 09/12</v>
      </c>
      <c r="D122" s="44" t="str">
        <f t="shared" si="95"/>
        <v>10/12 al 16/12</v>
      </c>
      <c r="E122" s="44" t="str">
        <f t="shared" si="95"/>
        <v>17/12 al 23/12</v>
      </c>
      <c r="F122" s="44" t="str">
        <f t="shared" si="95"/>
        <v>24/12 al 31/12</v>
      </c>
      <c r="G122" s="44" t="s">
        <v>43</v>
      </c>
      <c r="H122" s="45" t="s">
        <v>17</v>
      </c>
      <c r="I122" s="47" t="s">
        <v>45</v>
      </c>
      <c r="J122" s="40"/>
      <c r="K122" s="57"/>
      <c r="Q122" s="58"/>
      <c r="R122" s="40"/>
      <c r="S122" s="40"/>
      <c r="T122" s="40"/>
      <c r="U122" s="40"/>
      <c r="V122" s="40"/>
      <c r="W122" s="40"/>
      <c r="X122" s="40"/>
      <c r="Y122" s="40"/>
      <c r="Z122" s="40"/>
      <c r="AA122" s="40"/>
      <c r="AB122" s="40"/>
    </row>
    <row r="123">
      <c r="A123" s="51" t="s">
        <v>19</v>
      </c>
      <c r="B123" s="67"/>
      <c r="C123" s="67"/>
      <c r="D123" s="67"/>
      <c r="E123" s="67"/>
      <c r="F123" s="67">
        <v>557670.0</v>
      </c>
      <c r="G123" s="77">
        <f t="shared" ref="G123:G125" si="97">SUM(B123:F123)</f>
        <v>557670</v>
      </c>
      <c r="H123" s="85">
        <f>G169</f>
        <v>600000</v>
      </c>
      <c r="I123" s="56">
        <f>$G123/$G$1*30</f>
        <v>576900</v>
      </c>
      <c r="J123" s="86">
        <f>(H123-G123)/15</f>
        <v>2822</v>
      </c>
      <c r="K123" s="57"/>
      <c r="Q123" s="58"/>
      <c r="R123" s="40"/>
      <c r="S123" s="40"/>
      <c r="T123" s="40"/>
      <c r="U123" s="40"/>
      <c r="V123" s="40"/>
      <c r="W123" s="40"/>
      <c r="X123" s="40"/>
      <c r="Y123" s="40"/>
      <c r="Z123" s="40"/>
      <c r="AA123" s="40"/>
      <c r="AB123" s="40"/>
    </row>
    <row r="124">
      <c r="A124" s="51" t="s">
        <v>20</v>
      </c>
      <c r="B124" s="59">
        <f t="shared" ref="B124:F124" si="96">B123/$B$1</f>
        <v>0</v>
      </c>
      <c r="C124" s="59">
        <f t="shared" si="96"/>
        <v>0</v>
      </c>
      <c r="D124" s="59">
        <f t="shared" si="96"/>
        <v>0</v>
      </c>
      <c r="E124" s="59">
        <f t="shared" si="96"/>
        <v>0</v>
      </c>
      <c r="F124" s="59">
        <f t="shared" si="96"/>
        <v>374.2751678</v>
      </c>
      <c r="G124" s="60">
        <f t="shared" si="97"/>
        <v>374.2751678</v>
      </c>
      <c r="H124" s="87">
        <f>H123/$B$1</f>
        <v>402.6845638</v>
      </c>
      <c r="I124" s="66"/>
      <c r="J124" s="40"/>
      <c r="K124" s="57"/>
      <c r="Q124" s="58"/>
      <c r="R124" s="40"/>
      <c r="S124" s="40"/>
      <c r="T124" s="40"/>
      <c r="U124" s="40"/>
      <c r="V124" s="40"/>
      <c r="W124" s="40"/>
      <c r="X124" s="40"/>
      <c r="Y124" s="40"/>
      <c r="Z124" s="40"/>
      <c r="AA124" s="40"/>
      <c r="AB124" s="40"/>
    </row>
    <row r="125">
      <c r="A125" s="51" t="s">
        <v>21</v>
      </c>
      <c r="B125" s="63"/>
      <c r="C125" s="63"/>
      <c r="D125" s="63"/>
      <c r="E125" s="63"/>
      <c r="F125" s="63"/>
      <c r="G125" s="64">
        <f t="shared" si="97"/>
        <v>0</v>
      </c>
      <c r="H125" s="65">
        <f>G172</f>
        <v>60</v>
      </c>
      <c r="I125" s="66">
        <f>$G125/$G$1*30</f>
        <v>0</v>
      </c>
      <c r="J125" s="40"/>
      <c r="K125" s="57"/>
      <c r="Q125" s="58"/>
      <c r="R125" s="40"/>
      <c r="S125" s="40"/>
      <c r="T125" s="40"/>
      <c r="U125" s="40"/>
      <c r="V125" s="40"/>
      <c r="W125" s="40"/>
      <c r="X125" s="40"/>
      <c r="Y125" s="40"/>
      <c r="Z125" s="40"/>
      <c r="AA125" s="40"/>
      <c r="AB125" s="40"/>
    </row>
    <row r="126">
      <c r="A126" s="51" t="s">
        <v>22</v>
      </c>
      <c r="B126" s="69" t="str">
        <f t="shared" ref="B126:D126" si="98">B123/B125</f>
        <v>#DIV/0!</v>
      </c>
      <c r="C126" s="69" t="str">
        <f t="shared" si="98"/>
        <v>#DIV/0!</v>
      </c>
      <c r="D126" s="69" t="str">
        <f t="shared" si="98"/>
        <v>#DIV/0!</v>
      </c>
      <c r="E126" s="69" t="str">
        <f t="shared" ref="E126:F126" si="99">E106/E125</f>
        <v>#DIV/0!</v>
      </c>
      <c r="F126" s="69" t="str">
        <f t="shared" si="99"/>
        <v>#DIV/0!</v>
      </c>
      <c r="G126" s="64" t="str">
        <f t="shared" ref="G126:G127" si="102">G123/G$125</f>
        <v>#DIV/0!</v>
      </c>
      <c r="H126" s="91">
        <f t="shared" ref="H126:I126" si="100">H123/H125</f>
        <v>10000</v>
      </c>
      <c r="I126" s="56" t="str">
        <f t="shared" si="100"/>
        <v>#DIV/0!</v>
      </c>
      <c r="J126" s="40"/>
      <c r="K126" s="57"/>
      <c r="Q126" s="58"/>
      <c r="R126" s="40"/>
      <c r="S126" s="40"/>
      <c r="T126" s="40"/>
      <c r="U126" s="40"/>
      <c r="V126" s="40"/>
      <c r="W126" s="40"/>
      <c r="X126" s="40"/>
      <c r="Y126" s="40"/>
      <c r="Z126" s="40"/>
      <c r="AA126" s="40"/>
      <c r="AB126" s="40"/>
    </row>
    <row r="127">
      <c r="A127" s="51" t="s">
        <v>23</v>
      </c>
      <c r="B127" s="59" t="str">
        <f t="shared" ref="B127:F127" si="101">B126/$B$1</f>
        <v>#DIV/0!</v>
      </c>
      <c r="C127" s="59" t="str">
        <f t="shared" si="101"/>
        <v>#DIV/0!</v>
      </c>
      <c r="D127" s="59" t="str">
        <f t="shared" si="101"/>
        <v>#DIV/0!</v>
      </c>
      <c r="E127" s="59" t="str">
        <f t="shared" si="101"/>
        <v>#DIV/0!</v>
      </c>
      <c r="F127" s="59" t="str">
        <f t="shared" si="101"/>
        <v>#DIV/0!</v>
      </c>
      <c r="G127" s="64" t="str">
        <f t="shared" si="102"/>
        <v>#DIV/0!</v>
      </c>
      <c r="H127" s="87">
        <f>H126/$B$1</f>
        <v>6.711409396</v>
      </c>
      <c r="I127" s="66"/>
      <c r="J127" s="40"/>
      <c r="K127" s="57"/>
      <c r="Q127" s="58"/>
      <c r="R127" s="40"/>
      <c r="S127" s="40"/>
      <c r="T127" s="40"/>
      <c r="U127" s="40"/>
      <c r="V127" s="40"/>
      <c r="W127" s="40"/>
      <c r="X127" s="40"/>
      <c r="Y127" s="40"/>
      <c r="Z127" s="40"/>
      <c r="AA127" s="40"/>
      <c r="AB127" s="40"/>
    </row>
    <row r="128">
      <c r="A128" s="51" t="s">
        <v>24</v>
      </c>
      <c r="B128" s="63"/>
      <c r="C128" s="63"/>
      <c r="D128" s="63"/>
      <c r="E128" s="63"/>
      <c r="F128" s="63"/>
      <c r="G128" s="64">
        <f>SUM(B128:D128)</f>
        <v>0</v>
      </c>
      <c r="H128" s="65">
        <f>G174</f>
        <v>3.6</v>
      </c>
      <c r="I128" s="66">
        <f>$G128/$G$1*30</f>
        <v>0</v>
      </c>
      <c r="J128" s="40"/>
      <c r="K128" s="57"/>
      <c r="Q128" s="58"/>
      <c r="R128" s="40"/>
      <c r="S128" s="40"/>
      <c r="T128" s="40"/>
      <c r="U128" s="40"/>
      <c r="V128" s="40"/>
      <c r="W128" s="40"/>
      <c r="X128" s="40"/>
      <c r="Y128" s="40"/>
      <c r="Z128" s="40"/>
      <c r="AA128" s="40"/>
      <c r="AB128" s="40"/>
    </row>
    <row r="129">
      <c r="A129" s="51" t="s">
        <v>25</v>
      </c>
      <c r="B129" s="69" t="str">
        <f t="shared" ref="B129:C129" si="103">B123/B128</f>
        <v>#DIV/0!</v>
      </c>
      <c r="C129" s="69" t="str">
        <f t="shared" si="103"/>
        <v>#DIV/0!</v>
      </c>
      <c r="D129" s="69" t="str">
        <f t="shared" ref="D129:E129" si="104">D106/D128</f>
        <v>#DIV/0!</v>
      </c>
      <c r="E129" s="69" t="str">
        <f t="shared" si="104"/>
        <v>#DIV/0!</v>
      </c>
      <c r="F129" s="69"/>
      <c r="G129" s="64" t="str">
        <f t="shared" ref="G129:G130" si="107">G123/G$128</f>
        <v>#DIV/0!</v>
      </c>
      <c r="H129" s="91">
        <f t="shared" ref="H129:I129" si="105">H123/H128</f>
        <v>166666.6667</v>
      </c>
      <c r="I129" s="71" t="str">
        <f t="shared" si="105"/>
        <v>#DIV/0!</v>
      </c>
      <c r="J129" s="40"/>
      <c r="K129" s="57"/>
      <c r="Q129" s="58"/>
      <c r="R129" s="40"/>
      <c r="S129" s="40"/>
      <c r="T129" s="40"/>
      <c r="U129" s="40"/>
      <c r="V129" s="40"/>
      <c r="W129" s="40"/>
      <c r="X129" s="40"/>
      <c r="Y129" s="40"/>
      <c r="Z129" s="40"/>
      <c r="AA129" s="40"/>
      <c r="AB129" s="40"/>
    </row>
    <row r="130">
      <c r="A130" s="51" t="s">
        <v>26</v>
      </c>
      <c r="B130" s="59" t="str">
        <f t="shared" ref="B130:E130" si="106">B129/$B$1</f>
        <v>#DIV/0!</v>
      </c>
      <c r="C130" s="59" t="str">
        <f t="shared" si="106"/>
        <v>#DIV/0!</v>
      </c>
      <c r="D130" s="59" t="str">
        <f t="shared" si="106"/>
        <v>#DIV/0!</v>
      </c>
      <c r="E130" s="59" t="str">
        <f t="shared" si="106"/>
        <v>#DIV/0!</v>
      </c>
      <c r="F130" s="69"/>
      <c r="G130" s="64" t="str">
        <f t="shared" si="107"/>
        <v>#DIV/0!</v>
      </c>
      <c r="H130" s="87">
        <f>H129/$B$1</f>
        <v>111.8568233</v>
      </c>
      <c r="I130" s="73"/>
      <c r="J130" s="40"/>
      <c r="K130" s="57"/>
      <c r="Q130" s="58"/>
      <c r="R130" s="40"/>
      <c r="S130" s="40"/>
      <c r="T130" s="40"/>
      <c r="U130" s="40"/>
      <c r="V130" s="40"/>
      <c r="W130" s="40"/>
      <c r="X130" s="40"/>
      <c r="Y130" s="40"/>
      <c r="Z130" s="40"/>
      <c r="AA130" s="40"/>
      <c r="AB130" s="40"/>
    </row>
    <row r="131">
      <c r="A131" s="51" t="s">
        <v>27</v>
      </c>
      <c r="B131" s="74" t="str">
        <f t="shared" ref="B131:E131" si="108">B128/B125</f>
        <v>#DIV/0!</v>
      </c>
      <c r="C131" s="74" t="str">
        <f t="shared" si="108"/>
        <v>#DIV/0!</v>
      </c>
      <c r="D131" s="74" t="str">
        <f t="shared" si="108"/>
        <v>#DIV/0!</v>
      </c>
      <c r="E131" s="74" t="str">
        <f t="shared" si="108"/>
        <v>#DIV/0!</v>
      </c>
      <c r="F131" s="69"/>
      <c r="G131" s="75" t="str">
        <f t="shared" ref="G131:I131" si="109">G128/G125</f>
        <v>#DIV/0!</v>
      </c>
      <c r="H131" s="92">
        <f t="shared" si="109"/>
        <v>0.06</v>
      </c>
      <c r="I131" s="73" t="str">
        <f t="shared" si="109"/>
        <v>#DIV/0!</v>
      </c>
      <c r="J131" s="40"/>
      <c r="K131" s="57"/>
      <c r="Q131" s="58"/>
      <c r="R131" s="40"/>
      <c r="S131" s="40"/>
      <c r="T131" s="40"/>
      <c r="U131" s="40"/>
      <c r="V131" s="40"/>
      <c r="W131" s="40"/>
      <c r="X131" s="40"/>
      <c r="Y131" s="40"/>
      <c r="Z131" s="40"/>
      <c r="AA131" s="40"/>
      <c r="AB131" s="40"/>
    </row>
    <row r="132">
      <c r="A132" s="51" t="s">
        <v>28</v>
      </c>
      <c r="B132" s="63">
        <v>0.0</v>
      </c>
      <c r="C132" s="63">
        <v>0.0</v>
      </c>
      <c r="D132" s="63">
        <v>0.0</v>
      </c>
      <c r="E132" s="69"/>
      <c r="F132" s="69"/>
      <c r="G132" s="64">
        <f>SUM(B132:D132)</f>
        <v>0</v>
      </c>
      <c r="H132" s="78"/>
      <c r="I132" s="79">
        <f>$G132/$G$1*30</f>
        <v>0</v>
      </c>
      <c r="J132" s="40"/>
      <c r="K132" s="57"/>
      <c r="Q132" s="58"/>
      <c r="R132" s="40"/>
      <c r="S132" s="40"/>
      <c r="T132" s="40"/>
      <c r="U132" s="40"/>
      <c r="V132" s="40"/>
      <c r="W132" s="40"/>
      <c r="X132" s="40"/>
      <c r="Y132" s="40"/>
      <c r="Z132" s="40"/>
      <c r="AA132" s="40"/>
      <c r="AB132" s="40"/>
    </row>
    <row r="133">
      <c r="A133" s="51" t="s">
        <v>29</v>
      </c>
      <c r="B133" s="69"/>
      <c r="C133" s="69"/>
      <c r="D133" s="69"/>
      <c r="E133" s="69"/>
      <c r="F133" s="69"/>
      <c r="G133" s="64"/>
      <c r="H133" s="78"/>
      <c r="I133" s="93" t="str">
        <f>I123/I132</f>
        <v>#DIV/0!</v>
      </c>
      <c r="J133" s="40"/>
      <c r="K133" s="57"/>
      <c r="Q133" s="58"/>
      <c r="R133" s="40"/>
      <c r="S133" s="40"/>
      <c r="T133" s="40"/>
      <c r="U133" s="40"/>
      <c r="V133" s="40"/>
      <c r="W133" s="40"/>
      <c r="X133" s="40"/>
      <c r="Y133" s="40"/>
      <c r="Z133" s="40"/>
      <c r="AA133" s="40"/>
      <c r="AB133" s="40"/>
    </row>
    <row r="134">
      <c r="A134" s="51" t="s">
        <v>30</v>
      </c>
      <c r="B134" s="59">
        <f t="shared" ref="B134:D134" si="110">B133/$B$1</f>
        <v>0</v>
      </c>
      <c r="C134" s="59">
        <f t="shared" si="110"/>
        <v>0</v>
      </c>
      <c r="D134" s="59">
        <f t="shared" si="110"/>
        <v>0</v>
      </c>
      <c r="E134" s="69"/>
      <c r="F134" s="69"/>
      <c r="G134" s="64"/>
      <c r="H134" s="78"/>
      <c r="I134" s="80"/>
      <c r="J134" s="40"/>
      <c r="K134" s="81"/>
      <c r="L134" s="82"/>
      <c r="M134" s="82"/>
      <c r="N134" s="82"/>
      <c r="O134" s="82"/>
      <c r="P134" s="82"/>
      <c r="Q134" s="83"/>
      <c r="R134" s="40"/>
      <c r="S134" s="40"/>
      <c r="T134" s="40"/>
      <c r="U134" s="40"/>
      <c r="V134" s="40"/>
      <c r="W134" s="40"/>
      <c r="X134" s="40"/>
      <c r="Y134" s="40"/>
      <c r="Z134" s="40"/>
      <c r="AA134" s="40"/>
      <c r="AB134" s="40"/>
    </row>
    <row r="135">
      <c r="A135" s="51" t="s">
        <v>32</v>
      </c>
      <c r="B135" s="69"/>
      <c r="C135" s="69"/>
      <c r="D135" s="69"/>
      <c r="E135" s="69"/>
      <c r="F135" s="69"/>
      <c r="G135" s="64"/>
      <c r="H135" s="78"/>
      <c r="I135" s="80" t="str">
        <f>I132/I125</f>
        <v>#DIV/0!</v>
      </c>
      <c r="J135" s="40"/>
      <c r="K135" s="40"/>
      <c r="L135" s="40"/>
      <c r="M135" s="40"/>
      <c r="N135" s="40"/>
      <c r="O135" s="40"/>
      <c r="P135" s="40"/>
      <c r="Q135" s="40"/>
      <c r="R135" s="40"/>
      <c r="S135" s="40"/>
      <c r="T135" s="40"/>
      <c r="U135" s="40"/>
      <c r="V135" s="40"/>
      <c r="W135" s="40"/>
      <c r="X135" s="40"/>
      <c r="Y135" s="40"/>
      <c r="Z135" s="40"/>
      <c r="AA135" s="40"/>
      <c r="AB135" s="40"/>
    </row>
    <row r="136">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row>
    <row r="137">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row>
    <row r="138">
      <c r="A138" s="43" t="s">
        <v>61</v>
      </c>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row>
    <row r="139">
      <c r="A139" s="7" t="s">
        <v>3</v>
      </c>
      <c r="B139" s="44" t="str">
        <f t="shared" ref="B139:F139" si="111">B3</f>
        <v>01/12 al 02/12</v>
      </c>
      <c r="C139" s="44" t="str">
        <f t="shared" si="111"/>
        <v>03/12 al 09/12</v>
      </c>
      <c r="D139" s="44" t="str">
        <f t="shared" si="111"/>
        <v>10/12 al 16/12</v>
      </c>
      <c r="E139" s="44" t="str">
        <f t="shared" si="111"/>
        <v>17/12 al 23/12</v>
      </c>
      <c r="F139" s="44" t="str">
        <f t="shared" si="111"/>
        <v>24/12 al 31/12</v>
      </c>
      <c r="G139" s="44" t="s">
        <v>43</v>
      </c>
      <c r="H139" s="40"/>
      <c r="I139" s="40"/>
      <c r="J139" s="40"/>
      <c r="K139" s="40"/>
      <c r="L139" s="40"/>
      <c r="M139" s="40"/>
      <c r="N139" s="40"/>
      <c r="O139" s="40"/>
      <c r="P139" s="40"/>
      <c r="Q139" s="40"/>
      <c r="R139" s="40"/>
      <c r="S139" s="40"/>
      <c r="T139" s="40"/>
      <c r="U139" s="40"/>
      <c r="V139" s="40"/>
      <c r="W139" s="40"/>
      <c r="X139" s="40"/>
      <c r="Y139" s="40"/>
      <c r="Z139" s="40"/>
      <c r="AA139" s="40"/>
      <c r="AB139" s="40"/>
    </row>
    <row r="140">
      <c r="A140" s="51" t="s">
        <v>62</v>
      </c>
      <c r="B140" s="67">
        <f t="shared" ref="B140:E140" si="112">B106+B93+B76+B59+B42+B25</f>
        <v>803314</v>
      </c>
      <c r="C140" s="67">
        <f t="shared" si="112"/>
        <v>1910622</v>
      </c>
      <c r="D140" s="67">
        <f t="shared" si="112"/>
        <v>2312543</v>
      </c>
      <c r="E140" s="67">
        <f t="shared" si="112"/>
        <v>2314242</v>
      </c>
      <c r="F140" s="67">
        <f>F4</f>
        <v>1975742</v>
      </c>
      <c r="G140" s="77">
        <f t="shared" ref="G140:G144" si="114">SUM(B140:F140)</f>
        <v>9316463</v>
      </c>
      <c r="H140" s="40"/>
      <c r="I140" s="40"/>
      <c r="J140" s="40"/>
      <c r="K140" s="40"/>
      <c r="L140" s="40"/>
      <c r="M140" s="40"/>
      <c r="N140" s="40"/>
      <c r="O140" s="40"/>
      <c r="P140" s="40"/>
      <c r="Q140" s="40"/>
      <c r="R140" s="40"/>
      <c r="S140" s="40"/>
      <c r="T140" s="40"/>
      <c r="U140" s="40"/>
      <c r="V140" s="40"/>
      <c r="W140" s="40"/>
      <c r="X140" s="40"/>
      <c r="Y140" s="40"/>
      <c r="Z140" s="40"/>
      <c r="AA140" s="40"/>
      <c r="AB140" s="40"/>
    </row>
    <row r="141">
      <c r="A141" s="51" t="s">
        <v>63</v>
      </c>
      <c r="B141" s="67" t="str">
        <f t="shared" ref="B141:F141" si="113">B123</f>
        <v/>
      </c>
      <c r="C141" s="67" t="str">
        <f t="shared" si="113"/>
        <v/>
      </c>
      <c r="D141" s="67" t="str">
        <f t="shared" si="113"/>
        <v/>
      </c>
      <c r="E141" s="67" t="str">
        <f t="shared" si="113"/>
        <v/>
      </c>
      <c r="F141" s="67">
        <f t="shared" si="113"/>
        <v>557670</v>
      </c>
      <c r="G141" s="77">
        <f t="shared" si="114"/>
        <v>557670</v>
      </c>
      <c r="H141" s="40"/>
      <c r="I141" s="40"/>
      <c r="J141" s="40"/>
      <c r="K141" s="40"/>
      <c r="L141" s="40"/>
      <c r="M141" s="40"/>
      <c r="N141" s="40"/>
      <c r="O141" s="40"/>
      <c r="P141" s="40"/>
      <c r="Q141" s="40"/>
      <c r="R141" s="40"/>
      <c r="S141" s="40"/>
      <c r="T141" s="40"/>
      <c r="U141" s="40"/>
      <c r="V141" s="40"/>
      <c r="W141" s="40"/>
      <c r="X141" s="40"/>
      <c r="Y141" s="40"/>
      <c r="Z141" s="40"/>
      <c r="AA141" s="40"/>
      <c r="AB141" s="40"/>
    </row>
    <row r="142">
      <c r="A142" s="51" t="s">
        <v>64</v>
      </c>
      <c r="B142" s="69">
        <f t="shared" ref="B142:F142" si="115">B143+B144</f>
        <v>10</v>
      </c>
      <c r="C142" s="69">
        <f t="shared" si="115"/>
        <v>28</v>
      </c>
      <c r="D142" s="69">
        <f t="shared" si="115"/>
        <v>36</v>
      </c>
      <c r="E142" s="69">
        <f t="shared" si="115"/>
        <v>21</v>
      </c>
      <c r="F142" s="69">
        <f t="shared" si="115"/>
        <v>25</v>
      </c>
      <c r="G142" s="64">
        <f t="shared" si="114"/>
        <v>120</v>
      </c>
      <c r="H142" s="40"/>
      <c r="I142" s="40"/>
      <c r="J142" s="40"/>
      <c r="K142" s="40"/>
      <c r="L142" s="40"/>
      <c r="M142" s="40"/>
      <c r="N142" s="40"/>
      <c r="O142" s="40"/>
      <c r="P142" s="40"/>
      <c r="Q142" s="40"/>
      <c r="R142" s="40"/>
      <c r="S142" s="40"/>
      <c r="T142" s="40"/>
      <c r="U142" s="40"/>
      <c r="V142" s="40"/>
      <c r="W142" s="40"/>
      <c r="X142" s="40"/>
      <c r="Y142" s="40"/>
      <c r="Z142" s="40"/>
      <c r="AA142" s="40"/>
      <c r="AB142" s="40"/>
    </row>
    <row r="143">
      <c r="A143" s="51" t="s">
        <v>65</v>
      </c>
      <c r="B143" s="63">
        <f t="shared" ref="B143:F143" si="116">B111+B96+B81+B64+B47+B30</f>
        <v>10</v>
      </c>
      <c r="C143" s="63">
        <f t="shared" si="116"/>
        <v>28</v>
      </c>
      <c r="D143" s="63">
        <f t="shared" si="116"/>
        <v>36</v>
      </c>
      <c r="E143" s="63">
        <f t="shared" si="116"/>
        <v>21</v>
      </c>
      <c r="F143" s="63">
        <f t="shared" si="116"/>
        <v>25</v>
      </c>
      <c r="G143" s="64">
        <f t="shared" si="114"/>
        <v>120</v>
      </c>
      <c r="H143" s="40"/>
      <c r="I143" s="40"/>
      <c r="J143" s="40"/>
      <c r="K143" s="40"/>
      <c r="L143" s="40"/>
      <c r="M143" s="40"/>
      <c r="N143" s="40"/>
      <c r="O143" s="40"/>
      <c r="P143" s="40"/>
      <c r="Q143" s="40"/>
      <c r="R143" s="40"/>
      <c r="S143" s="40"/>
      <c r="T143" s="40"/>
      <c r="U143" s="40"/>
      <c r="V143" s="40"/>
      <c r="W143" s="40"/>
      <c r="X143" s="40"/>
      <c r="Y143" s="40"/>
      <c r="Z143" s="40"/>
      <c r="AA143" s="40"/>
      <c r="AB143" s="40"/>
    </row>
    <row r="144">
      <c r="A144" s="51" t="s">
        <v>66</v>
      </c>
      <c r="B144" s="63" t="str">
        <f t="shared" ref="B144:F144" si="117">B128</f>
        <v/>
      </c>
      <c r="C144" s="63" t="str">
        <f t="shared" si="117"/>
        <v/>
      </c>
      <c r="D144" s="63" t="str">
        <f t="shared" si="117"/>
        <v/>
      </c>
      <c r="E144" s="63" t="str">
        <f t="shared" si="117"/>
        <v/>
      </c>
      <c r="F144" s="63" t="str">
        <f t="shared" si="117"/>
        <v/>
      </c>
      <c r="G144" s="64">
        <f t="shared" si="114"/>
        <v>0</v>
      </c>
      <c r="H144" s="40"/>
      <c r="I144" s="40"/>
      <c r="J144" s="40"/>
      <c r="K144" s="40"/>
      <c r="L144" s="40"/>
      <c r="M144" s="40"/>
      <c r="N144" s="40"/>
      <c r="O144" s="40"/>
      <c r="P144" s="40"/>
      <c r="Q144" s="40"/>
      <c r="R144" s="40"/>
      <c r="S144" s="40"/>
      <c r="T144" s="40"/>
      <c r="U144" s="40"/>
      <c r="V144" s="40"/>
      <c r="W144" s="40"/>
      <c r="X144" s="40"/>
      <c r="Y144" s="40"/>
      <c r="Z144" s="40"/>
      <c r="AA144" s="40"/>
      <c r="AB144" s="40"/>
    </row>
    <row r="145">
      <c r="A145" s="51" t="s">
        <v>67</v>
      </c>
      <c r="B145" s="90">
        <f t="shared" ref="B145:B146" si="119">B140/B143</f>
        <v>80331.4</v>
      </c>
      <c r="C145" s="90">
        <f t="shared" ref="C145:G145" si="118">C140/C142</f>
        <v>68236.5</v>
      </c>
      <c r="D145" s="90">
        <f t="shared" si="118"/>
        <v>64237.30556</v>
      </c>
      <c r="E145" s="90">
        <f t="shared" si="118"/>
        <v>110202</v>
      </c>
      <c r="F145" s="90">
        <f t="shared" si="118"/>
        <v>79029.68</v>
      </c>
      <c r="G145" s="77">
        <f t="shared" si="118"/>
        <v>77637.19167</v>
      </c>
      <c r="H145" s="40"/>
      <c r="I145" s="40"/>
      <c r="J145" s="40"/>
      <c r="K145" s="40"/>
      <c r="L145" s="40"/>
      <c r="M145" s="40"/>
      <c r="N145" s="40"/>
      <c r="O145" s="40"/>
      <c r="P145" s="40"/>
      <c r="Q145" s="40"/>
      <c r="R145" s="40"/>
      <c r="S145" s="40"/>
      <c r="T145" s="40"/>
      <c r="U145" s="40"/>
      <c r="V145" s="40"/>
      <c r="W145" s="40"/>
      <c r="X145" s="40"/>
      <c r="Y145" s="40"/>
      <c r="Z145" s="40"/>
      <c r="AA145" s="40"/>
      <c r="AB145" s="40"/>
    </row>
    <row r="146">
      <c r="A146" s="51" t="s">
        <v>68</v>
      </c>
      <c r="B146" s="69" t="str">
        <f t="shared" si="119"/>
        <v>#DIV/0!</v>
      </c>
      <c r="C146" s="69" t="str">
        <f t="shared" ref="C146:G146" si="120">C141/C144</f>
        <v>#DIV/0!</v>
      </c>
      <c r="D146" s="69" t="str">
        <f t="shared" si="120"/>
        <v>#DIV/0!</v>
      </c>
      <c r="E146" s="69" t="str">
        <f t="shared" si="120"/>
        <v>#DIV/0!</v>
      </c>
      <c r="F146" s="69" t="str">
        <f t="shared" si="120"/>
        <v>#DIV/0!</v>
      </c>
      <c r="G146" s="64" t="str">
        <f t="shared" si="120"/>
        <v>#DIV/0!</v>
      </c>
      <c r="H146" s="40"/>
      <c r="I146" s="40"/>
      <c r="J146" s="40"/>
      <c r="K146" s="40"/>
      <c r="L146" s="40"/>
      <c r="M146" s="40"/>
      <c r="N146" s="40"/>
      <c r="O146" s="40"/>
      <c r="P146" s="40"/>
      <c r="Q146" s="40"/>
      <c r="R146" s="40"/>
      <c r="S146" s="40"/>
      <c r="T146" s="40"/>
      <c r="U146" s="40"/>
      <c r="V146" s="40"/>
      <c r="W146" s="40"/>
      <c r="X146" s="40"/>
      <c r="Y146" s="40"/>
      <c r="Z146" s="40"/>
      <c r="AA146" s="40"/>
      <c r="AB146" s="40"/>
    </row>
    <row r="147">
      <c r="A147" s="51" t="s">
        <v>69</v>
      </c>
      <c r="B147" s="63">
        <v>0.0</v>
      </c>
      <c r="C147" s="63">
        <v>0.0</v>
      </c>
      <c r="D147" s="63">
        <v>0.0</v>
      </c>
      <c r="E147" s="63">
        <v>0.0</v>
      </c>
      <c r="F147" s="63">
        <v>0.0</v>
      </c>
      <c r="G147" s="64"/>
      <c r="H147" s="40"/>
      <c r="I147" s="40"/>
      <c r="J147" s="40"/>
      <c r="K147" s="40"/>
      <c r="L147" s="40"/>
      <c r="M147" s="40"/>
      <c r="N147" s="40"/>
      <c r="O147" s="40"/>
      <c r="P147" s="40"/>
      <c r="Q147" s="40"/>
      <c r="R147" s="40"/>
      <c r="S147" s="40"/>
      <c r="T147" s="40"/>
      <c r="U147" s="40"/>
      <c r="V147" s="40"/>
      <c r="W147" s="40"/>
      <c r="X147" s="40"/>
      <c r="Y147" s="40"/>
      <c r="Z147" s="40"/>
      <c r="AA147" s="40"/>
      <c r="AB147" s="40"/>
    </row>
    <row r="148">
      <c r="A148" s="51" t="s">
        <v>70</v>
      </c>
      <c r="B148" s="63">
        <v>0.0</v>
      </c>
      <c r="C148" s="63">
        <v>0.0</v>
      </c>
      <c r="D148" s="63">
        <v>0.0</v>
      </c>
      <c r="E148" s="63">
        <v>0.0</v>
      </c>
      <c r="F148" s="63">
        <v>0.0</v>
      </c>
      <c r="G148" s="64"/>
      <c r="H148" s="40"/>
      <c r="I148" s="40"/>
      <c r="J148" s="40"/>
      <c r="K148" s="40"/>
      <c r="L148" s="40"/>
      <c r="M148" s="40"/>
      <c r="N148" s="40"/>
      <c r="O148" s="40"/>
      <c r="P148" s="40"/>
      <c r="Q148" s="40"/>
      <c r="R148" s="40"/>
      <c r="S148" s="40"/>
      <c r="T148" s="40"/>
      <c r="U148" s="40"/>
      <c r="V148" s="40"/>
      <c r="W148" s="40"/>
      <c r="X148" s="40"/>
      <c r="Y148" s="40"/>
      <c r="Z148" s="40"/>
      <c r="AA148" s="40"/>
      <c r="AB148" s="40"/>
    </row>
    <row r="149">
      <c r="A149" s="51" t="s">
        <v>71</v>
      </c>
      <c r="B149" s="69"/>
      <c r="C149" s="69"/>
      <c r="D149" s="69"/>
      <c r="E149" s="69"/>
      <c r="F149" s="69"/>
      <c r="G149" s="64"/>
      <c r="H149" s="40"/>
      <c r="I149" s="40"/>
      <c r="J149" s="40"/>
      <c r="K149" s="40"/>
      <c r="L149" s="40"/>
      <c r="M149" s="40"/>
      <c r="N149" s="40"/>
      <c r="O149" s="40"/>
      <c r="P149" s="40"/>
      <c r="Q149" s="40"/>
      <c r="R149" s="40"/>
      <c r="S149" s="40"/>
      <c r="T149" s="40"/>
      <c r="U149" s="40"/>
      <c r="V149" s="40"/>
      <c r="W149" s="40"/>
      <c r="X149" s="40"/>
      <c r="Y149" s="40"/>
      <c r="Z149" s="40"/>
      <c r="AA149" s="40"/>
      <c r="AB149" s="40"/>
    </row>
    <row r="150">
      <c r="A150" s="51" t="s">
        <v>72</v>
      </c>
      <c r="B150" s="69"/>
      <c r="C150" s="69"/>
      <c r="D150" s="69"/>
      <c r="E150" s="69"/>
      <c r="F150" s="69"/>
      <c r="G150" s="64"/>
      <c r="H150" s="40"/>
      <c r="I150" s="40"/>
      <c r="J150" s="40"/>
      <c r="K150" s="40"/>
      <c r="L150" s="40"/>
      <c r="M150" s="40"/>
      <c r="N150" s="40"/>
      <c r="O150" s="40"/>
      <c r="P150" s="40"/>
      <c r="Q150" s="40"/>
      <c r="R150" s="40"/>
      <c r="S150" s="40"/>
      <c r="T150" s="40"/>
      <c r="U150" s="40"/>
      <c r="V150" s="40"/>
      <c r="W150" s="40"/>
      <c r="X150" s="40"/>
      <c r="Y150" s="40"/>
      <c r="Z150" s="40"/>
      <c r="AA150" s="40"/>
      <c r="AB150" s="40"/>
    </row>
    <row r="151">
      <c r="A151" s="51" t="s">
        <v>32</v>
      </c>
      <c r="B151" s="69"/>
      <c r="C151" s="69"/>
      <c r="D151" s="69"/>
      <c r="E151" s="69"/>
      <c r="F151" s="69"/>
      <c r="G151" s="64"/>
      <c r="H151" s="40"/>
      <c r="I151" s="40"/>
      <c r="J151" s="40"/>
      <c r="K151" s="40"/>
      <c r="L151" s="40"/>
      <c r="M151" s="40"/>
      <c r="N151" s="40"/>
      <c r="O151" s="40"/>
      <c r="P151" s="40"/>
      <c r="Q151" s="40"/>
      <c r="R151" s="40"/>
      <c r="S151" s="40"/>
      <c r="T151" s="40"/>
      <c r="U151" s="40"/>
      <c r="V151" s="40"/>
      <c r="W151" s="40"/>
      <c r="X151" s="40"/>
      <c r="Y151" s="40"/>
      <c r="Z151" s="40"/>
      <c r="AA151" s="40"/>
      <c r="AB151" s="40"/>
    </row>
    <row r="152">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row>
    <row r="153">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row>
    <row r="154">
      <c r="A154" s="97" t="s">
        <v>73</v>
      </c>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row>
    <row r="155">
      <c r="A155" s="7" t="s">
        <v>3</v>
      </c>
      <c r="B155" s="44" t="s">
        <v>54</v>
      </c>
      <c r="C155" s="44" t="s">
        <v>55</v>
      </c>
      <c r="D155" s="44" t="s">
        <v>56</v>
      </c>
      <c r="E155" s="44" t="s">
        <v>74</v>
      </c>
      <c r="F155" s="44" t="s">
        <v>75</v>
      </c>
      <c r="G155" s="44" t="s">
        <v>76</v>
      </c>
      <c r="H155" s="44" t="s">
        <v>43</v>
      </c>
      <c r="I155" s="40"/>
      <c r="J155" s="40"/>
      <c r="K155" s="40"/>
      <c r="L155" s="40"/>
      <c r="M155" s="40"/>
      <c r="N155" s="40"/>
      <c r="O155" s="40"/>
      <c r="P155" s="40"/>
      <c r="Q155" s="40"/>
      <c r="R155" s="40"/>
      <c r="S155" s="40"/>
      <c r="T155" s="40"/>
      <c r="U155" s="40"/>
      <c r="V155" s="40"/>
      <c r="W155" s="40"/>
      <c r="X155" s="40"/>
      <c r="Y155" s="40"/>
      <c r="Z155" s="40"/>
      <c r="AA155" s="40"/>
      <c r="AB155" s="40"/>
    </row>
    <row r="156">
      <c r="A156" s="51" t="s">
        <v>19</v>
      </c>
      <c r="B156" s="90">
        <f>G25</f>
        <v>2117626</v>
      </c>
      <c r="C156" s="90">
        <f>G42</f>
        <v>2237809</v>
      </c>
      <c r="D156" s="90">
        <f>G59</f>
        <v>2536547</v>
      </c>
      <c r="E156" s="90">
        <f>G76</f>
        <v>1782940</v>
      </c>
      <c r="F156" s="90">
        <f>G106</f>
        <v>470709</v>
      </c>
      <c r="G156" s="90">
        <f>G123</f>
        <v>557670</v>
      </c>
      <c r="H156" s="90">
        <f>SUM(B156:G156)</f>
        <v>9703301</v>
      </c>
      <c r="I156" s="40"/>
      <c r="J156" s="40"/>
      <c r="K156" s="40"/>
      <c r="L156" s="40"/>
      <c r="M156" s="40"/>
      <c r="N156" s="40"/>
      <c r="O156" s="40"/>
      <c r="P156" s="40"/>
      <c r="Q156" s="40"/>
      <c r="R156" s="40"/>
      <c r="S156" s="40"/>
      <c r="T156" s="40"/>
      <c r="U156" s="40"/>
      <c r="V156" s="40"/>
      <c r="W156" s="40"/>
      <c r="X156" s="40"/>
      <c r="Y156" s="40"/>
      <c r="Z156" s="40"/>
      <c r="AA156" s="40"/>
      <c r="AB156" s="40"/>
    </row>
    <row r="157">
      <c r="A157" s="51" t="s">
        <v>77</v>
      </c>
      <c r="B157" s="74">
        <f t="shared" ref="B157:H157" si="121">B156/SUM($B$156:$G$156)</f>
        <v>0.2182376905</v>
      </c>
      <c r="C157" s="74">
        <f t="shared" si="121"/>
        <v>0.2306234755</v>
      </c>
      <c r="D157" s="74">
        <f t="shared" si="121"/>
        <v>0.2614107302</v>
      </c>
      <c r="E157" s="74">
        <f t="shared" si="121"/>
        <v>0.1837457171</v>
      </c>
      <c r="F157" s="74">
        <f t="shared" si="121"/>
        <v>0.04851019256</v>
      </c>
      <c r="G157" s="74">
        <f t="shared" si="121"/>
        <v>0.05747219426</v>
      </c>
      <c r="H157" s="74">
        <f t="shared" si="121"/>
        <v>1</v>
      </c>
      <c r="I157" s="40"/>
      <c r="J157" s="40"/>
      <c r="K157" s="40"/>
      <c r="L157" s="40"/>
      <c r="M157" s="40"/>
      <c r="N157" s="40"/>
      <c r="O157" s="40"/>
      <c r="P157" s="40"/>
      <c r="Q157" s="40"/>
      <c r="R157" s="40"/>
      <c r="S157" s="40"/>
      <c r="T157" s="40"/>
      <c r="U157" s="40"/>
      <c r="V157" s="40"/>
      <c r="W157" s="40"/>
      <c r="X157" s="40"/>
      <c r="Y157" s="40"/>
      <c r="Z157" s="40"/>
      <c r="AA157" s="40"/>
      <c r="AB157" s="40"/>
    </row>
    <row r="158">
      <c r="A158" s="51" t="s">
        <v>21</v>
      </c>
      <c r="B158" s="69">
        <f t="shared" ref="B158:B159" si="122">G27</f>
        <v>311</v>
      </c>
      <c r="C158" s="69">
        <f t="shared" ref="C158:C159" si="123">G44</f>
        <v>549</v>
      </c>
      <c r="D158" s="69">
        <f t="shared" ref="D158:D159" si="124">G61</f>
        <v>586</v>
      </c>
      <c r="E158" s="69">
        <f t="shared" ref="E158:E159" si="125">G78</f>
        <v>318</v>
      </c>
      <c r="F158" s="69">
        <f t="shared" ref="F158:F159" si="126">G108</f>
        <v>105</v>
      </c>
      <c r="G158" s="69">
        <f t="shared" ref="G158:G159" si="127">G125</f>
        <v>0</v>
      </c>
      <c r="H158" s="69">
        <f>SUM(B158:G158)</f>
        <v>1869</v>
      </c>
      <c r="I158" s="40"/>
      <c r="J158" s="40"/>
      <c r="K158" s="40"/>
      <c r="L158" s="40"/>
      <c r="M158" s="40"/>
      <c r="N158" s="40"/>
      <c r="O158" s="40"/>
      <c r="P158" s="40"/>
      <c r="Q158" s="40"/>
      <c r="R158" s="40"/>
      <c r="S158" s="40"/>
      <c r="T158" s="40"/>
      <c r="U158" s="40"/>
      <c r="V158" s="40"/>
      <c r="W158" s="40"/>
      <c r="X158" s="40"/>
      <c r="Y158" s="40"/>
      <c r="Z158" s="40"/>
      <c r="AA158" s="40"/>
      <c r="AB158" s="40"/>
    </row>
    <row r="159">
      <c r="A159" s="51" t="s">
        <v>22</v>
      </c>
      <c r="B159" s="90">
        <f t="shared" si="122"/>
        <v>6809.086817</v>
      </c>
      <c r="C159" s="90">
        <f t="shared" si="123"/>
        <v>4076.154827</v>
      </c>
      <c r="D159" s="90">
        <f t="shared" si="124"/>
        <v>4328.578498</v>
      </c>
      <c r="E159" s="90">
        <f t="shared" si="125"/>
        <v>5606.72956</v>
      </c>
      <c r="F159" s="90">
        <f t="shared" si="126"/>
        <v>4482.942857</v>
      </c>
      <c r="G159" s="69" t="str">
        <f t="shared" si="127"/>
        <v>#DIV/0!</v>
      </c>
      <c r="H159" s="90">
        <f>H156/H158</f>
        <v>5191.70733</v>
      </c>
      <c r="I159" s="40"/>
      <c r="J159" s="40"/>
      <c r="K159" s="40"/>
      <c r="L159" s="40"/>
      <c r="M159" s="40"/>
      <c r="N159" s="40"/>
      <c r="O159" s="40"/>
      <c r="P159" s="40"/>
      <c r="Q159" s="40"/>
      <c r="R159" s="40"/>
      <c r="S159" s="40"/>
      <c r="T159" s="40"/>
      <c r="U159" s="40"/>
      <c r="V159" s="40"/>
      <c r="W159" s="40"/>
      <c r="X159" s="40"/>
      <c r="Y159" s="40"/>
      <c r="Z159" s="40"/>
      <c r="AA159" s="40"/>
      <c r="AB159" s="40"/>
    </row>
    <row r="160">
      <c r="A160" s="51" t="s">
        <v>24</v>
      </c>
      <c r="B160" s="69">
        <f t="shared" ref="B160:B161" si="128">G30</f>
        <v>24</v>
      </c>
      <c r="C160" s="69">
        <f t="shared" ref="C160:C161" si="129">G47</f>
        <v>18</v>
      </c>
      <c r="D160" s="69">
        <f t="shared" ref="D160:D161" si="130">G64</f>
        <v>41</v>
      </c>
      <c r="E160" s="69">
        <f t="shared" ref="E160:E161" si="131">G81</f>
        <v>24</v>
      </c>
      <c r="F160" s="69">
        <f t="shared" ref="F160:F161" si="132">G111</f>
        <v>13</v>
      </c>
      <c r="G160" s="69">
        <f t="shared" ref="G160:G161" si="133">G128</f>
        <v>0</v>
      </c>
      <c r="H160" s="69">
        <f>SUM(B160:G160)</f>
        <v>120</v>
      </c>
      <c r="I160" s="40"/>
      <c r="J160" s="40"/>
      <c r="K160" s="40"/>
      <c r="L160" s="40"/>
      <c r="M160" s="40"/>
      <c r="N160" s="40"/>
      <c r="O160" s="40"/>
      <c r="P160" s="40"/>
      <c r="Q160" s="40"/>
      <c r="R160" s="40"/>
      <c r="S160" s="40"/>
      <c r="T160" s="40"/>
      <c r="U160" s="40"/>
      <c r="V160" s="40"/>
      <c r="W160" s="40"/>
      <c r="X160" s="40"/>
      <c r="Y160" s="40"/>
      <c r="Z160" s="40"/>
      <c r="AA160" s="40"/>
      <c r="AB160" s="40"/>
    </row>
    <row r="161">
      <c r="A161" s="51" t="s">
        <v>25</v>
      </c>
      <c r="B161" s="90">
        <f t="shared" si="128"/>
        <v>88234.41667</v>
      </c>
      <c r="C161" s="90">
        <f t="shared" si="129"/>
        <v>124322.7222</v>
      </c>
      <c r="D161" s="90">
        <f t="shared" si="130"/>
        <v>61867</v>
      </c>
      <c r="E161" s="90">
        <f t="shared" si="131"/>
        <v>74289.16667</v>
      </c>
      <c r="F161" s="90">
        <f t="shared" si="132"/>
        <v>36208.38462</v>
      </c>
      <c r="G161" s="69" t="str">
        <f t="shared" si="133"/>
        <v>#DIV/0!</v>
      </c>
      <c r="H161" s="90">
        <f>H156/H160</f>
        <v>80860.84167</v>
      </c>
      <c r="I161" s="40"/>
      <c r="J161" s="40"/>
      <c r="K161" s="40"/>
      <c r="L161" s="40"/>
      <c r="M161" s="40"/>
      <c r="N161" s="40"/>
      <c r="O161" s="40"/>
      <c r="P161" s="40"/>
      <c r="Q161" s="40"/>
      <c r="R161" s="40"/>
      <c r="S161" s="40"/>
      <c r="T161" s="40"/>
      <c r="U161" s="40"/>
      <c r="V161" s="40"/>
      <c r="W161" s="40"/>
      <c r="X161" s="40"/>
      <c r="Y161" s="40"/>
      <c r="Z161" s="40"/>
      <c r="AA161" s="40"/>
      <c r="AB161" s="40"/>
    </row>
    <row r="162">
      <c r="A162" s="51" t="s">
        <v>27</v>
      </c>
      <c r="B162" s="74">
        <f>G33</f>
        <v>0.07717041801</v>
      </c>
      <c r="C162" s="74">
        <f t="shared" ref="C162:C163" si="135">G50</f>
        <v>0.03278688525</v>
      </c>
      <c r="D162" s="74">
        <f t="shared" ref="D162:D163" si="136">G67</f>
        <v>0.06996587031</v>
      </c>
      <c r="E162" s="74">
        <f t="shared" ref="E162:E164" si="137">G84</f>
        <v>0.07547169811</v>
      </c>
      <c r="F162" s="74">
        <f t="shared" ref="F162:F164" si="138">G114</f>
        <v>0.1238095238</v>
      </c>
      <c r="G162" s="74" t="str">
        <f t="shared" ref="G162:H162" si="134">G131</f>
        <v>#DIV/0!</v>
      </c>
      <c r="H162" s="74">
        <f t="shared" si="134"/>
        <v>0.06</v>
      </c>
      <c r="I162" s="40"/>
      <c r="J162" s="40"/>
      <c r="K162" s="40"/>
      <c r="L162" s="40"/>
      <c r="M162" s="40"/>
      <c r="N162" s="40"/>
      <c r="O162" s="40"/>
      <c r="P162" s="40"/>
      <c r="Q162" s="40"/>
      <c r="R162" s="40"/>
      <c r="S162" s="40"/>
      <c r="T162" s="40"/>
      <c r="U162" s="40"/>
      <c r="V162" s="40"/>
      <c r="W162" s="40"/>
      <c r="X162" s="40"/>
      <c r="Y162" s="40"/>
      <c r="Z162" s="40"/>
      <c r="AA162" s="40"/>
      <c r="AB162" s="40"/>
    </row>
    <row r="163">
      <c r="A163" s="51" t="s">
        <v>28</v>
      </c>
      <c r="B163" s="69"/>
      <c r="C163" s="69">
        <f t="shared" si="135"/>
        <v>0</v>
      </c>
      <c r="D163" s="69">
        <f t="shared" si="136"/>
        <v>2</v>
      </c>
      <c r="E163" s="69">
        <f t="shared" si="137"/>
        <v>0</v>
      </c>
      <c r="F163" s="69">
        <f t="shared" si="138"/>
        <v>0</v>
      </c>
      <c r="G163" s="69">
        <f t="shared" ref="G163:H163" si="139">G132</f>
        <v>0</v>
      </c>
      <c r="H163" s="69" t="str">
        <f t="shared" si="139"/>
        <v/>
      </c>
      <c r="I163" s="40"/>
      <c r="J163" s="40"/>
      <c r="K163" s="40"/>
      <c r="L163" s="40"/>
      <c r="M163" s="40"/>
      <c r="N163" s="40"/>
      <c r="O163" s="40"/>
      <c r="P163" s="40"/>
      <c r="Q163" s="40"/>
      <c r="R163" s="40"/>
      <c r="S163" s="40"/>
      <c r="T163" s="40"/>
      <c r="U163" s="40"/>
      <c r="V163" s="40"/>
      <c r="W163" s="40"/>
      <c r="X163" s="40"/>
      <c r="Y163" s="40"/>
      <c r="Z163" s="40"/>
      <c r="AA163" s="40"/>
      <c r="AB163" s="40"/>
    </row>
    <row r="164">
      <c r="A164" s="51" t="s">
        <v>29</v>
      </c>
      <c r="B164" s="69" t="str">
        <f>G35</f>
        <v/>
      </c>
      <c r="C164" s="69"/>
      <c r="D164" s="69"/>
      <c r="E164" s="69" t="str">
        <f t="shared" si="137"/>
        <v/>
      </c>
      <c r="F164" s="69" t="str">
        <f t="shared" si="138"/>
        <v/>
      </c>
      <c r="G164" s="69" t="str">
        <f t="shared" ref="G164:H164" si="140">G133</f>
        <v/>
      </c>
      <c r="H164" s="69" t="str">
        <f t="shared" si="140"/>
        <v/>
      </c>
      <c r="I164" s="40"/>
      <c r="J164" s="40"/>
      <c r="K164" s="40"/>
      <c r="L164" s="40"/>
      <c r="M164" s="40"/>
      <c r="N164" s="40"/>
      <c r="O164" s="40"/>
      <c r="P164" s="40"/>
      <c r="Q164" s="40"/>
      <c r="R164" s="40"/>
      <c r="S164" s="40"/>
      <c r="T164" s="40"/>
      <c r="U164" s="40"/>
      <c r="V164" s="40"/>
      <c r="W164" s="40"/>
      <c r="X164" s="40"/>
      <c r="Y164" s="40"/>
      <c r="Z164" s="40"/>
      <c r="AA164" s="40"/>
      <c r="AB164" s="40"/>
    </row>
    <row r="165">
      <c r="A165" s="51" t="s">
        <v>32</v>
      </c>
      <c r="B165" s="69" t="str">
        <f>G37</f>
        <v/>
      </c>
      <c r="C165" s="69"/>
      <c r="D165" s="69"/>
      <c r="E165" s="69" t="str">
        <f>G88</f>
        <v/>
      </c>
      <c r="F165" s="69" t="str">
        <f>G118</f>
        <v/>
      </c>
      <c r="G165" s="69" t="str">
        <f t="shared" ref="G165:H165" si="141">G135</f>
        <v/>
      </c>
      <c r="H165" s="69" t="str">
        <f t="shared" si="141"/>
        <v/>
      </c>
      <c r="I165" s="40"/>
      <c r="J165" s="40"/>
      <c r="K165" s="40"/>
      <c r="L165" s="40"/>
      <c r="M165" s="40"/>
      <c r="N165" s="40"/>
      <c r="O165" s="40"/>
      <c r="P165" s="40"/>
      <c r="Q165" s="40"/>
      <c r="R165" s="40"/>
      <c r="S165" s="40"/>
      <c r="T165" s="40"/>
      <c r="U165" s="40"/>
      <c r="V165" s="40"/>
      <c r="W165" s="40"/>
      <c r="X165" s="40"/>
      <c r="Y165" s="40"/>
      <c r="Z165" s="40"/>
      <c r="AA165" s="40"/>
      <c r="AB165" s="40"/>
    </row>
    <row r="166">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row>
    <row r="167">
      <c r="A167" s="100" t="s">
        <v>86</v>
      </c>
      <c r="B167" s="101" t="s">
        <v>54</v>
      </c>
      <c r="C167" s="101" t="s">
        <v>55</v>
      </c>
      <c r="D167" s="101" t="s">
        <v>56</v>
      </c>
      <c r="E167" s="101" t="s">
        <v>74</v>
      </c>
      <c r="F167" s="102" t="s">
        <v>59</v>
      </c>
      <c r="G167" s="101" t="s">
        <v>76</v>
      </c>
      <c r="H167" s="101" t="s">
        <v>1</v>
      </c>
      <c r="I167" s="40"/>
      <c r="J167" s="40"/>
      <c r="K167" s="40"/>
      <c r="L167" s="40"/>
      <c r="M167" s="40"/>
      <c r="N167" s="40"/>
      <c r="O167" s="40"/>
      <c r="P167" s="40"/>
      <c r="Q167" s="40"/>
      <c r="R167" s="40"/>
      <c r="S167" s="40"/>
      <c r="T167" s="40"/>
      <c r="U167" s="40"/>
      <c r="V167" s="40"/>
      <c r="W167" s="40"/>
      <c r="X167" s="40"/>
      <c r="Y167" s="40"/>
      <c r="Z167" s="40"/>
      <c r="AA167" s="40"/>
      <c r="AB167" s="40"/>
    </row>
    <row r="168">
      <c r="A168" s="103" t="s">
        <v>79</v>
      </c>
      <c r="B168" s="104">
        <v>70000.0</v>
      </c>
      <c r="C168" s="104">
        <v>70000.0</v>
      </c>
      <c r="D168" s="104">
        <v>75000.0</v>
      </c>
      <c r="E168" s="104">
        <v>45000.0</v>
      </c>
      <c r="F168" s="104">
        <v>15000.0</v>
      </c>
      <c r="G168" s="104">
        <v>20000.0</v>
      </c>
      <c r="H168" s="105">
        <f t="shared" ref="H168:H169" si="143">SUM(B168:G168)</f>
        <v>295000</v>
      </c>
      <c r="I168" s="40"/>
      <c r="J168" s="40"/>
      <c r="K168" s="40"/>
      <c r="L168" s="40"/>
      <c r="M168" s="40"/>
      <c r="N168" s="40"/>
      <c r="O168" s="40"/>
      <c r="P168" s="40"/>
      <c r="Q168" s="40"/>
      <c r="R168" s="40"/>
      <c r="S168" s="40"/>
      <c r="T168" s="40"/>
      <c r="U168" s="40"/>
      <c r="V168" s="40"/>
      <c r="W168" s="40"/>
      <c r="X168" s="40"/>
      <c r="Y168" s="40"/>
      <c r="Z168" s="40"/>
      <c r="AA168" s="40"/>
      <c r="AB168" s="40"/>
    </row>
    <row r="169">
      <c r="A169" s="103" t="s">
        <v>19</v>
      </c>
      <c r="B169" s="106">
        <f t="shared" ref="B169:G169" si="142">B168*30</f>
        <v>2100000</v>
      </c>
      <c r="C169" s="106">
        <f t="shared" si="142"/>
        <v>2100000</v>
      </c>
      <c r="D169" s="106">
        <f t="shared" si="142"/>
        <v>2250000</v>
      </c>
      <c r="E169" s="106">
        <f t="shared" si="142"/>
        <v>1350000</v>
      </c>
      <c r="F169" s="106">
        <f t="shared" si="142"/>
        <v>450000</v>
      </c>
      <c r="G169" s="106">
        <f t="shared" si="142"/>
        <v>600000</v>
      </c>
      <c r="H169" s="105">
        <f t="shared" si="143"/>
        <v>8850000</v>
      </c>
      <c r="I169" s="40"/>
      <c r="J169" s="40"/>
      <c r="K169" s="40"/>
      <c r="L169" s="40"/>
      <c r="M169" s="40"/>
      <c r="N169" s="40"/>
      <c r="O169" s="40"/>
      <c r="P169" s="40"/>
      <c r="Q169" s="40"/>
      <c r="R169" s="40"/>
      <c r="S169" s="40"/>
      <c r="T169" s="40"/>
      <c r="U169" s="40"/>
      <c r="V169" s="40"/>
      <c r="W169" s="40"/>
      <c r="X169" s="40"/>
      <c r="Y169" s="40"/>
      <c r="Z169" s="40"/>
      <c r="AA169" s="40"/>
      <c r="AB169" s="40"/>
    </row>
    <row r="170">
      <c r="A170" s="103" t="s">
        <v>80</v>
      </c>
      <c r="B170" s="107">
        <f t="shared" ref="B170:H170" si="144">B169/$H$169</f>
        <v>0.2372881356</v>
      </c>
      <c r="C170" s="107">
        <f t="shared" si="144"/>
        <v>0.2372881356</v>
      </c>
      <c r="D170" s="107">
        <f t="shared" si="144"/>
        <v>0.2542372881</v>
      </c>
      <c r="E170" s="107">
        <f t="shared" si="144"/>
        <v>0.1525423729</v>
      </c>
      <c r="F170" s="107">
        <f t="shared" si="144"/>
        <v>0.05084745763</v>
      </c>
      <c r="G170" s="107">
        <f t="shared" si="144"/>
        <v>0.06779661017</v>
      </c>
      <c r="H170" s="108">
        <f t="shared" si="144"/>
        <v>1</v>
      </c>
      <c r="I170" s="40"/>
      <c r="J170" s="40"/>
      <c r="K170" s="40"/>
      <c r="L170" s="40"/>
      <c r="M170" s="40"/>
      <c r="N170" s="40"/>
      <c r="O170" s="40"/>
      <c r="P170" s="40"/>
      <c r="Q170" s="40"/>
      <c r="R170" s="40"/>
      <c r="S170" s="40"/>
      <c r="T170" s="40"/>
      <c r="U170" s="40"/>
      <c r="V170" s="40"/>
      <c r="W170" s="40"/>
      <c r="X170" s="40"/>
      <c r="Y170" s="40"/>
      <c r="Z170" s="40"/>
      <c r="AA170" s="40"/>
      <c r="AB170" s="40"/>
    </row>
    <row r="171">
      <c r="A171" s="103" t="s">
        <v>22</v>
      </c>
      <c r="B171" s="104">
        <v>5500.0</v>
      </c>
      <c r="C171" s="104">
        <v>4500.0</v>
      </c>
      <c r="D171" s="104">
        <v>4500.0</v>
      </c>
      <c r="E171" s="104">
        <v>3000.0</v>
      </c>
      <c r="F171" s="104">
        <v>3000.0</v>
      </c>
      <c r="G171" s="104">
        <v>10000.0</v>
      </c>
      <c r="H171" s="109">
        <f>H169/H172</f>
        <v>4406.306578</v>
      </c>
      <c r="I171" s="40"/>
      <c r="J171" s="40"/>
      <c r="K171" s="40"/>
      <c r="L171" s="40"/>
      <c r="M171" s="40"/>
      <c r="N171" s="40"/>
      <c r="O171" s="40"/>
      <c r="P171" s="40"/>
      <c r="Q171" s="40"/>
      <c r="R171" s="40"/>
      <c r="S171" s="40"/>
      <c r="T171" s="40"/>
      <c r="U171" s="40"/>
      <c r="V171" s="40"/>
      <c r="W171" s="40"/>
      <c r="X171" s="40"/>
      <c r="Y171" s="40"/>
      <c r="Z171" s="40"/>
      <c r="AA171" s="40"/>
      <c r="AB171" s="40"/>
    </row>
    <row r="172">
      <c r="A172" s="103" t="s">
        <v>21</v>
      </c>
      <c r="B172" s="110">
        <f t="shared" ref="B172:E172" si="145">B169/B171</f>
        <v>381.8181818</v>
      </c>
      <c r="C172" s="110">
        <f t="shared" si="145"/>
        <v>466.6666667</v>
      </c>
      <c r="D172" s="110">
        <f t="shared" si="145"/>
        <v>500</v>
      </c>
      <c r="E172" s="110">
        <f t="shared" si="145"/>
        <v>450</v>
      </c>
      <c r="F172" s="111">
        <v>150.0</v>
      </c>
      <c r="G172" s="110">
        <f>G169/G171</f>
        <v>60</v>
      </c>
      <c r="H172" s="112">
        <f>SUM(B172:G172)</f>
        <v>2008.484848</v>
      </c>
      <c r="I172" s="40"/>
      <c r="J172" s="40"/>
      <c r="K172" s="40"/>
      <c r="L172" s="40"/>
      <c r="M172" s="40"/>
      <c r="N172" s="40"/>
      <c r="O172" s="40"/>
      <c r="P172" s="40"/>
      <c r="Q172" s="40"/>
      <c r="R172" s="40"/>
      <c r="S172" s="40"/>
      <c r="T172" s="40"/>
      <c r="U172" s="40"/>
      <c r="V172" s="40"/>
      <c r="W172" s="40"/>
      <c r="X172" s="40"/>
      <c r="Y172" s="40"/>
      <c r="Z172" s="40"/>
      <c r="AA172" s="40"/>
      <c r="AB172" s="40"/>
    </row>
    <row r="173">
      <c r="A173" s="103" t="s">
        <v>27</v>
      </c>
      <c r="B173" s="113">
        <v>0.1</v>
      </c>
      <c r="C173" s="113">
        <v>0.05</v>
      </c>
      <c r="D173" s="114">
        <v>0.08</v>
      </c>
      <c r="E173" s="114">
        <v>0.08</v>
      </c>
      <c r="F173" s="113">
        <v>0.06</v>
      </c>
      <c r="G173" s="113">
        <v>0.06</v>
      </c>
      <c r="H173" s="108">
        <f>H174/H172</f>
        <v>0.07474049487</v>
      </c>
      <c r="I173" s="40"/>
      <c r="J173" s="40"/>
      <c r="K173" s="40"/>
      <c r="L173" s="40"/>
      <c r="M173" s="40"/>
      <c r="N173" s="40"/>
      <c r="O173" s="40"/>
      <c r="P173" s="40"/>
      <c r="Q173" s="40"/>
      <c r="R173" s="40"/>
      <c r="S173" s="40"/>
      <c r="T173" s="40"/>
      <c r="U173" s="40"/>
      <c r="V173" s="40"/>
      <c r="W173" s="40"/>
      <c r="X173" s="40"/>
      <c r="Y173" s="40"/>
      <c r="Z173" s="40"/>
      <c r="AA173" s="40"/>
      <c r="AB173" s="40"/>
    </row>
    <row r="174">
      <c r="A174" s="103" t="s">
        <v>24</v>
      </c>
      <c r="B174" s="110">
        <f t="shared" ref="B174:G174" si="146">B172*B173</f>
        <v>38.18181818</v>
      </c>
      <c r="C174" s="110">
        <f t="shared" si="146"/>
        <v>23.33333333</v>
      </c>
      <c r="D174" s="110">
        <f t="shared" si="146"/>
        <v>40</v>
      </c>
      <c r="E174" s="110">
        <f t="shared" si="146"/>
        <v>36</v>
      </c>
      <c r="F174" s="110">
        <f t="shared" si="146"/>
        <v>9</v>
      </c>
      <c r="G174" s="110">
        <f t="shared" si="146"/>
        <v>3.6</v>
      </c>
      <c r="H174" s="112">
        <f>SUM(B174:G174)</f>
        <v>150.1151515</v>
      </c>
      <c r="I174" s="40"/>
      <c r="J174" s="40"/>
      <c r="K174" s="40"/>
      <c r="L174" s="40"/>
      <c r="M174" s="40"/>
      <c r="N174" s="40"/>
      <c r="O174" s="40"/>
      <c r="P174" s="40"/>
      <c r="Q174" s="40"/>
      <c r="R174" s="40"/>
      <c r="S174" s="40"/>
      <c r="T174" s="40"/>
      <c r="U174" s="40"/>
      <c r="V174" s="40"/>
      <c r="W174" s="40"/>
      <c r="X174" s="40"/>
      <c r="Y174" s="40"/>
      <c r="Z174" s="40"/>
      <c r="AA174" s="40"/>
      <c r="AB174" s="40"/>
    </row>
    <row r="175">
      <c r="A175" s="103" t="s">
        <v>25</v>
      </c>
      <c r="B175" s="106">
        <f t="shared" ref="B175:E175" si="147">B169/B174</f>
        <v>55000</v>
      </c>
      <c r="C175" s="106">
        <f t="shared" si="147"/>
        <v>90000</v>
      </c>
      <c r="D175" s="106">
        <f t="shared" si="147"/>
        <v>56250</v>
      </c>
      <c r="E175" s="106">
        <f t="shared" si="147"/>
        <v>37500</v>
      </c>
      <c r="F175" s="106">
        <v>0.0</v>
      </c>
      <c r="G175" s="106">
        <f t="shared" ref="G175:H175" si="148">G169/G174</f>
        <v>166666.6667</v>
      </c>
      <c r="H175" s="105">
        <f t="shared" si="148"/>
        <v>58954.74181</v>
      </c>
      <c r="I175" s="40"/>
      <c r="J175" s="40"/>
      <c r="K175" s="40"/>
      <c r="L175" s="40"/>
      <c r="M175" s="40"/>
      <c r="N175" s="40"/>
      <c r="O175" s="40"/>
      <c r="P175" s="40"/>
      <c r="Q175" s="40"/>
      <c r="R175" s="40"/>
      <c r="S175" s="40"/>
      <c r="T175" s="40"/>
      <c r="U175" s="40"/>
      <c r="V175" s="40"/>
      <c r="W175" s="40"/>
      <c r="X175" s="40"/>
      <c r="Y175" s="40"/>
      <c r="Z175" s="40"/>
      <c r="AA175" s="40"/>
      <c r="AB175" s="40"/>
    </row>
    <row r="176">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row>
    <row r="177">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row>
    <row r="178">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row>
    <row r="179">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row>
    <row r="180">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row>
    <row r="18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row>
    <row r="182">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row>
    <row r="183">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row>
    <row r="184">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row>
    <row r="18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row>
    <row r="186">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row>
    <row r="187">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row>
    <row r="188">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row>
    <row r="189">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row>
    <row r="190">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row>
    <row r="19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row>
    <row r="192">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row>
    <row r="193">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row>
    <row r="194">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row>
    <row r="19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row>
    <row r="196">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row>
    <row r="197">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row>
    <row r="198">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row>
    <row r="199">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row>
    <row r="200">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row>
    <row r="20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row>
    <row r="202">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row>
    <row r="203">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row>
    <row r="204">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row>
    <row r="20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row>
    <row r="206">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row>
    <row r="207">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row>
    <row r="208">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row>
    <row r="209">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row>
    <row r="210">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row>
    <row r="21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row>
    <row r="212">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row>
    <row r="213">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row>
    <row r="214">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row>
    <row r="21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row>
    <row r="216">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row>
    <row r="217">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row>
    <row r="218">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row>
    <row r="219">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row>
    <row r="220">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row>
    <row r="22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row>
    <row r="222">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row>
    <row r="223">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row>
    <row r="224">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row>
    <row r="22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row>
    <row r="226">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row>
    <row r="227">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row>
    <row r="228">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row>
    <row r="229">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row>
    <row r="230">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row>
    <row r="23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row>
    <row r="232">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row>
    <row r="233">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row>
    <row r="234">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row>
    <row r="23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row>
    <row r="236">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row>
    <row r="237">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row>
    <row r="238">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row>
    <row r="239">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row>
    <row r="240">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row>
    <row r="24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row>
    <row r="242">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row>
    <row r="243">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row>
    <row r="244">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row>
    <row r="24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row>
    <row r="246">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row>
    <row r="247">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row>
    <row r="248">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row>
    <row r="249">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row>
    <row r="250">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row>
    <row r="25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row>
    <row r="252">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row>
    <row r="253">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row>
    <row r="254">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row>
    <row r="2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row>
    <row r="256">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row>
    <row r="257">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row>
    <row r="258">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row>
    <row r="259">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row>
    <row r="260">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row>
    <row r="261">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row>
    <row r="262">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row>
    <row r="263">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row>
    <row r="264">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row>
    <row r="26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row>
    <row r="266">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row>
    <row r="267">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row>
    <row r="268">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row>
    <row r="269">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row>
    <row r="270">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row>
    <row r="271">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row>
    <row r="272">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row>
    <row r="273">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row>
    <row r="274">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row>
    <row r="27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row>
    <row r="276">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row>
    <row r="277">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row>
    <row r="278">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row>
    <row r="279">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row>
    <row r="280">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row>
    <row r="281">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row>
    <row r="282">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row>
    <row r="283">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row>
    <row r="284">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row>
    <row r="28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row>
    <row r="286">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row>
    <row r="287">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row>
    <row r="288">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row>
    <row r="289">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row>
    <row r="290">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row>
    <row r="291">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row>
    <row r="292">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row>
    <row r="293">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row>
    <row r="294">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row>
    <row r="29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row>
    <row r="296">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row>
    <row r="297">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row>
    <row r="298">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row>
    <row r="299">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row>
    <row r="300">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row>
    <row r="301">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row>
    <row r="302">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row>
    <row r="303">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row>
    <row r="304">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row>
    <row r="30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row>
    <row r="306">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row>
    <row r="307">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row>
    <row r="308">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row>
    <row r="309">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row>
    <row r="310">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row>
    <row r="311">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row>
    <row r="312">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row>
    <row r="313">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row>
    <row r="314">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row>
    <row r="31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row>
    <row r="316">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row>
    <row r="317">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row>
    <row r="318">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row>
    <row r="319">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row>
    <row r="320">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row>
    <row r="321">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row>
    <row r="322">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row>
    <row r="323">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row>
    <row r="324">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row>
    <row r="32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row>
    <row r="326">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row>
    <row r="327">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row>
    <row r="328">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row>
    <row r="329">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row>
    <row r="330">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row>
    <row r="331">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row>
    <row r="332">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row>
    <row r="333">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row>
    <row r="334">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row>
    <row r="33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row>
    <row r="336">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row>
    <row r="337">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row>
    <row r="338">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row>
    <row r="339">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row>
    <row r="340">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row>
    <row r="341">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row>
    <row r="342">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row>
    <row r="343">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row>
    <row r="344">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row>
    <row r="34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row>
    <row r="346">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row>
    <row r="347">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row>
    <row r="348">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row>
    <row r="349">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row>
    <row r="350">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row>
    <row r="351">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row>
    <row r="352">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row>
    <row r="353">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row>
    <row r="354">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row>
    <row r="3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row>
    <row r="356">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row>
    <row r="357">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row>
    <row r="358">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row>
    <row r="359">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row>
    <row r="360">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row>
    <row r="361">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row>
    <row r="362">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row>
    <row r="363">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row>
    <row r="364">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row>
    <row r="36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row>
    <row r="366">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row>
    <row r="367">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row>
    <row r="368">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row>
    <row r="369">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row>
    <row r="370">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row>
    <row r="371">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row>
    <row r="372">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row>
    <row r="373">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row>
    <row r="374">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row>
    <row r="37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row>
    <row r="376">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row>
    <row r="377">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row>
    <row r="378">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row>
    <row r="379">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row>
    <row r="380">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row>
    <row r="381">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row>
    <row r="382">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row>
    <row r="383">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row>
    <row r="384">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row>
    <row r="38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row>
    <row r="386">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row>
    <row r="387">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row>
    <row r="388">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row>
    <row r="389">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row>
    <row r="390">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row>
    <row r="391">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row>
    <row r="392">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row>
    <row r="393">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row>
    <row r="394">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row>
    <row r="39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row>
    <row r="396">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row>
    <row r="397">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row>
    <row r="398">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row>
    <row r="399">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row>
    <row r="400">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row>
    <row r="401">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row>
    <row r="402">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row>
    <row r="403">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row>
    <row r="404">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row>
    <row r="40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row>
    <row r="406">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row>
    <row r="407">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row>
    <row r="408">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row>
    <row r="409">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row>
    <row r="410">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row>
    <row r="411">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row>
    <row r="412">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row>
    <row r="413">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row>
    <row r="414">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row>
    <row r="41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row>
    <row r="416">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row>
    <row r="417">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row>
    <row r="418">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row>
    <row r="419">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row>
    <row r="420">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row>
    <row r="421">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row>
    <row r="422">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row>
    <row r="423">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row>
    <row r="424">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row>
    <row r="42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row>
    <row r="426">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row>
    <row r="427">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row>
    <row r="428">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row>
    <row r="429">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row>
    <row r="430">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row>
    <row r="431">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row>
    <row r="432">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row>
    <row r="433">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row>
    <row r="434">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row>
    <row r="43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row>
    <row r="436">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row>
    <row r="437">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row>
    <row r="438">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row>
    <row r="439">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row>
    <row r="440">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row>
    <row r="441">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row>
    <row r="442">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row>
    <row r="443">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row>
    <row r="444">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row>
    <row r="44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row>
    <row r="446">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row>
    <row r="447">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row>
    <row r="448">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row>
    <row r="449">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row>
    <row r="450">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row>
    <row r="451">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row>
    <row r="452">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row>
    <row r="453">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row>
    <row r="454">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row>
    <row r="4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row>
    <row r="456">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row>
    <row r="457">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row>
    <row r="458">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row>
    <row r="459">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row>
    <row r="460">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row>
    <row r="461">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row>
    <row r="462">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row>
    <row r="463">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row>
    <row r="464">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row>
    <row r="46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row>
    <row r="466">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row>
    <row r="467">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row>
    <row r="468">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row>
    <row r="469">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row>
    <row r="470">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row>
    <row r="471">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row>
    <row r="472">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row>
    <row r="473">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row>
    <row r="474">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row>
    <row r="47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row>
    <row r="476">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row>
    <row r="477">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row>
    <row r="478">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row>
    <row r="479">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row>
    <row r="480">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row>
    <row r="481">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c r="AA481" s="40"/>
      <c r="AB481" s="40"/>
    </row>
    <row r="482">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c r="AA482" s="40"/>
      <c r="AB482" s="40"/>
    </row>
    <row r="483">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c r="AA483" s="40"/>
      <c r="AB483" s="40"/>
    </row>
    <row r="484">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c r="AA484" s="40"/>
      <c r="AB484" s="40"/>
    </row>
    <row r="485">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c r="AA485" s="40"/>
      <c r="AB485" s="40"/>
    </row>
    <row r="486">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c r="AA486" s="40"/>
      <c r="AB486" s="40"/>
    </row>
    <row r="487">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c r="AA487" s="40"/>
      <c r="AB487" s="40"/>
    </row>
    <row r="488">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c r="AA488" s="40"/>
      <c r="AB488" s="40"/>
    </row>
    <row r="489">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c r="AA489" s="40"/>
      <c r="AB489" s="40"/>
    </row>
    <row r="490">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c r="AA490" s="40"/>
      <c r="AB490" s="40"/>
    </row>
    <row r="491">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c r="AA491" s="40"/>
      <c r="AB491" s="40"/>
    </row>
    <row r="492">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c r="AA492" s="40"/>
      <c r="AB492" s="40"/>
    </row>
    <row r="493">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c r="AA493" s="40"/>
      <c r="AB493" s="40"/>
    </row>
    <row r="494">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c r="AA494" s="40"/>
      <c r="AB494" s="40"/>
    </row>
    <row r="495">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c r="AA495" s="40"/>
      <c r="AB495" s="40"/>
    </row>
    <row r="496">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c r="AA496" s="40"/>
      <c r="AB496" s="40"/>
    </row>
    <row r="497">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c r="AA497" s="40"/>
      <c r="AB497" s="40"/>
    </row>
    <row r="498">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c r="AA498" s="40"/>
      <c r="AB498" s="40"/>
    </row>
    <row r="499">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c r="AA499" s="40"/>
      <c r="AB499" s="40"/>
    </row>
    <row r="500">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c r="AA500" s="40"/>
      <c r="AB500" s="40"/>
    </row>
    <row r="501">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c r="AA501" s="40"/>
      <c r="AB501" s="40"/>
    </row>
    <row r="502">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c r="AA502" s="40"/>
      <c r="AB502" s="40"/>
    </row>
    <row r="503">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c r="AA503" s="40"/>
      <c r="AB503" s="40"/>
    </row>
    <row r="504">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c r="AA504" s="40"/>
      <c r="AB504" s="40"/>
    </row>
    <row r="505">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c r="AA505" s="40"/>
      <c r="AB505" s="40"/>
    </row>
    <row r="506">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c r="AA506" s="40"/>
      <c r="AB506" s="40"/>
    </row>
    <row r="507">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c r="AA507" s="40"/>
      <c r="AB507" s="40"/>
    </row>
    <row r="508">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c r="AA508" s="40"/>
      <c r="AB508" s="40"/>
    </row>
    <row r="509">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c r="AA509" s="40"/>
      <c r="AB509" s="40"/>
    </row>
    <row r="510">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c r="AA510" s="40"/>
      <c r="AB510" s="40"/>
    </row>
    <row r="511">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c r="AA511" s="40"/>
      <c r="AB511" s="40"/>
    </row>
    <row r="512">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c r="AA512" s="40"/>
      <c r="AB512" s="40"/>
    </row>
    <row r="513">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c r="AA513" s="40"/>
      <c r="AB513" s="40"/>
    </row>
    <row r="514">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c r="AA514" s="40"/>
      <c r="AB514" s="40"/>
    </row>
    <row r="515">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c r="AA515" s="40"/>
      <c r="AB515" s="40"/>
    </row>
    <row r="516">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c r="AA516" s="40"/>
      <c r="AB516" s="40"/>
    </row>
    <row r="517">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c r="AA517" s="40"/>
      <c r="AB517" s="40"/>
    </row>
    <row r="518">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c r="AA518" s="40"/>
      <c r="AB518" s="40"/>
    </row>
    <row r="519">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c r="AA519" s="40"/>
      <c r="AB519" s="40"/>
    </row>
    <row r="520">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c r="AA520" s="40"/>
      <c r="AB520" s="40"/>
    </row>
    <row r="521">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c r="AA521" s="40"/>
      <c r="AB521" s="40"/>
    </row>
    <row r="522">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c r="AA522" s="40"/>
      <c r="AB522" s="40"/>
    </row>
    <row r="523">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c r="AA523" s="40"/>
      <c r="AB523" s="40"/>
    </row>
    <row r="524">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c r="AA524" s="40"/>
      <c r="AB524" s="40"/>
    </row>
    <row r="525">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c r="AA525" s="40"/>
      <c r="AB525" s="40"/>
    </row>
    <row r="526">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c r="AA526" s="40"/>
      <c r="AB526" s="40"/>
    </row>
    <row r="527">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c r="AA527" s="40"/>
      <c r="AB527" s="40"/>
    </row>
    <row r="528">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c r="AA528" s="40"/>
      <c r="AB528" s="40"/>
    </row>
    <row r="529">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c r="AA529" s="40"/>
      <c r="AB529" s="40"/>
    </row>
    <row r="530">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c r="AA530" s="40"/>
      <c r="AB530" s="40"/>
    </row>
    <row r="531">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c r="AA531" s="40"/>
      <c r="AB531" s="40"/>
    </row>
    <row r="532">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c r="AA532" s="40"/>
      <c r="AB532" s="40"/>
    </row>
    <row r="533">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c r="AA533" s="40"/>
      <c r="AB533" s="40"/>
    </row>
    <row r="534">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c r="AA534" s="40"/>
      <c r="AB534" s="40"/>
    </row>
    <row r="535">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c r="AA535" s="40"/>
      <c r="AB535" s="40"/>
    </row>
    <row r="536">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c r="AA536" s="40"/>
      <c r="AB536" s="40"/>
    </row>
    <row r="537">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c r="AA537" s="40"/>
      <c r="AB537" s="40"/>
    </row>
    <row r="538">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c r="AA538" s="40"/>
      <c r="AB538" s="40"/>
    </row>
    <row r="539">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c r="AA539" s="40"/>
      <c r="AB539" s="40"/>
    </row>
    <row r="540">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c r="AA540" s="40"/>
      <c r="AB540" s="40"/>
    </row>
    <row r="541">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c r="AA541" s="40"/>
      <c r="AB541" s="40"/>
    </row>
    <row r="542">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c r="AA542" s="40"/>
      <c r="AB542" s="40"/>
    </row>
    <row r="543">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c r="AA543" s="40"/>
      <c r="AB543" s="40"/>
    </row>
    <row r="544">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c r="AA544" s="40"/>
      <c r="AB544" s="40"/>
    </row>
    <row r="545">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c r="AA545" s="40"/>
      <c r="AB545" s="40"/>
    </row>
    <row r="546">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c r="AA546" s="40"/>
      <c r="AB546" s="40"/>
    </row>
    <row r="547">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c r="AA547" s="40"/>
      <c r="AB547" s="40"/>
    </row>
    <row r="548">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c r="AA548" s="40"/>
      <c r="AB548" s="40"/>
    </row>
    <row r="549">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c r="AA549" s="40"/>
      <c r="AB549" s="40"/>
    </row>
    <row r="550">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c r="AA550" s="40"/>
      <c r="AB550" s="40"/>
    </row>
    <row r="551">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c r="AA551" s="40"/>
      <c r="AB551" s="40"/>
    </row>
    <row r="552">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c r="AA552" s="40"/>
      <c r="AB552" s="40"/>
    </row>
    <row r="553">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c r="AA553" s="40"/>
      <c r="AB553" s="40"/>
    </row>
    <row r="554">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c r="AA554" s="40"/>
      <c r="AB554" s="40"/>
    </row>
    <row r="555">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c r="AA555" s="40"/>
      <c r="AB555" s="40"/>
    </row>
    <row r="556">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c r="AA556" s="40"/>
      <c r="AB556" s="40"/>
    </row>
    <row r="557">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c r="AA557" s="40"/>
      <c r="AB557" s="40"/>
    </row>
    <row r="558">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c r="AA558" s="40"/>
      <c r="AB558" s="40"/>
    </row>
    <row r="559">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c r="AA559" s="40"/>
      <c r="AB559" s="40"/>
    </row>
    <row r="560">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c r="AA560" s="40"/>
      <c r="AB560" s="40"/>
    </row>
    <row r="561">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c r="AA561" s="40"/>
      <c r="AB561" s="40"/>
    </row>
    <row r="562">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c r="AA562" s="40"/>
      <c r="AB562" s="40"/>
    </row>
    <row r="563">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c r="AA563" s="40"/>
      <c r="AB563" s="40"/>
    </row>
    <row r="564">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c r="AA564" s="40"/>
      <c r="AB564" s="40"/>
    </row>
    <row r="565">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c r="AA565" s="40"/>
      <c r="AB565" s="40"/>
    </row>
    <row r="566">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c r="AA566" s="40"/>
      <c r="AB566" s="40"/>
    </row>
    <row r="567">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c r="AA567" s="40"/>
      <c r="AB567" s="40"/>
    </row>
    <row r="568">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c r="AA568" s="40"/>
      <c r="AB568" s="40"/>
    </row>
    <row r="569">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c r="AA569" s="40"/>
      <c r="AB569" s="40"/>
    </row>
    <row r="570">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c r="AA570" s="40"/>
      <c r="AB570" s="40"/>
    </row>
    <row r="571">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c r="AA571" s="40"/>
      <c r="AB571" s="40"/>
    </row>
    <row r="572">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c r="AA572" s="40"/>
      <c r="AB572" s="40"/>
    </row>
    <row r="573">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c r="AA573" s="40"/>
      <c r="AB573" s="40"/>
    </row>
    <row r="574">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c r="AA574" s="40"/>
      <c r="AB574" s="40"/>
    </row>
    <row r="575">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c r="AA575" s="40"/>
      <c r="AB575" s="40"/>
    </row>
    <row r="576">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c r="AA576" s="40"/>
      <c r="AB576" s="40"/>
    </row>
    <row r="577">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c r="AA577" s="40"/>
      <c r="AB577" s="40"/>
    </row>
    <row r="578">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c r="AA578" s="40"/>
      <c r="AB578" s="40"/>
    </row>
    <row r="579">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c r="AA579" s="40"/>
      <c r="AB579" s="40"/>
    </row>
    <row r="580">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c r="AA580" s="40"/>
      <c r="AB580" s="40"/>
    </row>
    <row r="581">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c r="AA581" s="40"/>
      <c r="AB581" s="40"/>
    </row>
    <row r="582">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c r="AA582" s="40"/>
      <c r="AB582" s="40"/>
    </row>
    <row r="583">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c r="AA583" s="40"/>
      <c r="AB583" s="40"/>
    </row>
    <row r="584">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c r="AA584" s="40"/>
      <c r="AB584" s="40"/>
    </row>
    <row r="585">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c r="AA585" s="40"/>
      <c r="AB585" s="40"/>
    </row>
    <row r="586">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c r="AA586" s="40"/>
      <c r="AB586" s="40"/>
    </row>
    <row r="587">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c r="AA587" s="40"/>
      <c r="AB587" s="40"/>
    </row>
    <row r="588">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c r="AA588" s="40"/>
      <c r="AB588" s="40"/>
    </row>
    <row r="589">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c r="AA589" s="40"/>
      <c r="AB589" s="40"/>
    </row>
    <row r="590">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c r="AA590" s="40"/>
      <c r="AB590" s="40"/>
    </row>
    <row r="591">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c r="AA591" s="40"/>
      <c r="AB591" s="40"/>
    </row>
    <row r="592">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c r="AA592" s="40"/>
      <c r="AB592" s="40"/>
    </row>
    <row r="593">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c r="AA593" s="40"/>
      <c r="AB593" s="40"/>
    </row>
    <row r="594">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c r="AA594" s="40"/>
      <c r="AB594" s="40"/>
    </row>
    <row r="595">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c r="AA595" s="40"/>
      <c r="AB595" s="40"/>
    </row>
    <row r="596">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c r="AA596" s="40"/>
      <c r="AB596" s="40"/>
    </row>
    <row r="597">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c r="AA597" s="40"/>
      <c r="AB597" s="40"/>
    </row>
    <row r="598">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c r="AA598" s="40"/>
      <c r="AB598" s="40"/>
    </row>
    <row r="599">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c r="AA599" s="40"/>
      <c r="AB599" s="40"/>
    </row>
    <row r="600">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c r="AA600" s="40"/>
      <c r="AB600" s="40"/>
    </row>
    <row r="601">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c r="AA601" s="40"/>
      <c r="AB601" s="40"/>
    </row>
    <row r="602">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c r="AA602" s="40"/>
      <c r="AB602" s="40"/>
    </row>
    <row r="603">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c r="AA603" s="40"/>
      <c r="AB603" s="40"/>
    </row>
    <row r="604">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c r="AA604" s="40"/>
      <c r="AB604" s="40"/>
    </row>
    <row r="605">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c r="AA605" s="40"/>
      <c r="AB605" s="40"/>
    </row>
    <row r="606">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c r="AA606" s="40"/>
      <c r="AB606" s="40"/>
    </row>
    <row r="607">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c r="AA607" s="40"/>
      <c r="AB607" s="40"/>
    </row>
    <row r="608">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c r="AA608" s="40"/>
      <c r="AB608" s="40"/>
    </row>
    <row r="609">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c r="AA609" s="40"/>
      <c r="AB609" s="40"/>
    </row>
    <row r="610">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c r="AA610" s="40"/>
      <c r="AB610" s="40"/>
    </row>
    <row r="611">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c r="AA611" s="40"/>
      <c r="AB611" s="40"/>
    </row>
    <row r="612">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c r="AA612" s="40"/>
      <c r="AB612" s="40"/>
    </row>
    <row r="613">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c r="AA613" s="40"/>
      <c r="AB613" s="40"/>
    </row>
    <row r="614">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c r="AA614" s="40"/>
      <c r="AB614" s="40"/>
    </row>
    <row r="615">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c r="AA615" s="40"/>
      <c r="AB615" s="40"/>
    </row>
    <row r="616">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c r="AA616" s="40"/>
      <c r="AB616" s="40"/>
    </row>
    <row r="617">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c r="AA617" s="40"/>
      <c r="AB617" s="40"/>
    </row>
    <row r="618">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c r="AA618" s="40"/>
      <c r="AB618" s="40"/>
    </row>
    <row r="619">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c r="AA619" s="40"/>
      <c r="AB619" s="40"/>
    </row>
    <row r="620">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c r="AA620" s="40"/>
      <c r="AB620" s="40"/>
    </row>
    <row r="621">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c r="AA621" s="40"/>
      <c r="AB621" s="40"/>
    </row>
    <row r="622">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c r="AA622" s="40"/>
      <c r="AB622" s="40"/>
    </row>
    <row r="623">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c r="AA623" s="40"/>
      <c r="AB623" s="40"/>
    </row>
    <row r="624">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c r="AA624" s="40"/>
      <c r="AB624" s="40"/>
    </row>
    <row r="625">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c r="AA625" s="40"/>
      <c r="AB625" s="40"/>
    </row>
    <row r="626">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c r="AA626" s="40"/>
      <c r="AB626" s="40"/>
    </row>
    <row r="627">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c r="AA627" s="40"/>
      <c r="AB627" s="40"/>
    </row>
    <row r="628">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c r="AA628" s="40"/>
      <c r="AB628" s="40"/>
    </row>
    <row r="629">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c r="AA629" s="40"/>
      <c r="AB629" s="40"/>
    </row>
    <row r="630">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c r="AA630" s="40"/>
      <c r="AB630" s="40"/>
    </row>
    <row r="631">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c r="AA631" s="40"/>
      <c r="AB631" s="40"/>
    </row>
    <row r="632">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c r="AA632" s="40"/>
      <c r="AB632" s="40"/>
    </row>
    <row r="633">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c r="AA633" s="40"/>
      <c r="AB633" s="40"/>
    </row>
    <row r="634">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c r="AA634" s="40"/>
      <c r="AB634" s="40"/>
    </row>
    <row r="635">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c r="AA635" s="40"/>
      <c r="AB635" s="40"/>
    </row>
    <row r="636">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c r="AA636" s="40"/>
      <c r="AB636" s="40"/>
    </row>
    <row r="637">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c r="AA637" s="40"/>
      <c r="AB637" s="40"/>
    </row>
    <row r="638">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c r="AA638" s="40"/>
      <c r="AB638" s="40"/>
    </row>
    <row r="639">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c r="AA639" s="40"/>
      <c r="AB639" s="40"/>
    </row>
    <row r="640">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c r="AA640" s="40"/>
      <c r="AB640" s="40"/>
    </row>
    <row r="641">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c r="AA641" s="40"/>
      <c r="AB641" s="40"/>
    </row>
    <row r="642">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c r="AA642" s="40"/>
      <c r="AB642" s="40"/>
    </row>
    <row r="643">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c r="AA643" s="40"/>
      <c r="AB643" s="40"/>
    </row>
    <row r="644">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c r="AA644" s="40"/>
      <c r="AB644" s="40"/>
    </row>
    <row r="645">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c r="AA645" s="40"/>
      <c r="AB645" s="40"/>
    </row>
    <row r="646">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c r="AA646" s="40"/>
      <c r="AB646" s="40"/>
    </row>
    <row r="647">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c r="AA647" s="40"/>
      <c r="AB647" s="40"/>
    </row>
    <row r="648">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c r="AA648" s="40"/>
      <c r="AB648" s="40"/>
    </row>
    <row r="649">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c r="AA649" s="40"/>
      <c r="AB649" s="40"/>
    </row>
    <row r="650">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c r="AA650" s="40"/>
      <c r="AB650" s="40"/>
    </row>
    <row r="651">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c r="AA651" s="40"/>
      <c r="AB651" s="40"/>
    </row>
    <row r="652">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c r="AA652" s="40"/>
      <c r="AB652" s="40"/>
    </row>
    <row r="653">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c r="AA653" s="40"/>
      <c r="AB653" s="40"/>
    </row>
    <row r="654">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c r="AA654" s="40"/>
      <c r="AB654" s="40"/>
    </row>
    <row r="655">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c r="AA655" s="40"/>
      <c r="AB655" s="40"/>
    </row>
    <row r="656">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c r="AA656" s="40"/>
      <c r="AB656" s="40"/>
    </row>
    <row r="657">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c r="AA657" s="40"/>
      <c r="AB657" s="40"/>
    </row>
    <row r="658">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c r="AA658" s="40"/>
      <c r="AB658" s="40"/>
    </row>
    <row r="659">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c r="AA659" s="40"/>
      <c r="AB659" s="40"/>
    </row>
    <row r="660">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c r="AA660" s="40"/>
      <c r="AB660" s="40"/>
    </row>
    <row r="661">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c r="AA661" s="40"/>
      <c r="AB661" s="40"/>
    </row>
    <row r="662">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c r="AA662" s="40"/>
      <c r="AB662" s="40"/>
    </row>
    <row r="663">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c r="AA663" s="40"/>
      <c r="AB663" s="40"/>
    </row>
    <row r="664">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c r="AA664" s="40"/>
      <c r="AB664" s="40"/>
    </row>
    <row r="665">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c r="AA665" s="40"/>
      <c r="AB665" s="40"/>
    </row>
    <row r="666">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c r="AA666" s="40"/>
      <c r="AB666" s="40"/>
    </row>
    <row r="667">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c r="AA667" s="40"/>
      <c r="AB667" s="40"/>
    </row>
    <row r="668">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c r="AA668" s="40"/>
      <c r="AB668" s="40"/>
    </row>
    <row r="669">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c r="AA669" s="40"/>
      <c r="AB669" s="40"/>
    </row>
    <row r="670">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c r="AA670" s="40"/>
      <c r="AB670" s="40"/>
    </row>
    <row r="671">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c r="AA671" s="40"/>
      <c r="AB671" s="40"/>
    </row>
    <row r="672">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c r="AA672" s="40"/>
      <c r="AB672" s="40"/>
    </row>
    <row r="673">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c r="AA673" s="40"/>
      <c r="AB673" s="40"/>
    </row>
    <row r="674">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c r="AA674" s="40"/>
      <c r="AB674" s="40"/>
    </row>
    <row r="675">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c r="AA675" s="40"/>
      <c r="AB675" s="40"/>
    </row>
    <row r="676">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c r="AA676" s="40"/>
      <c r="AB676" s="40"/>
    </row>
    <row r="677">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c r="AA677" s="40"/>
      <c r="AB677" s="40"/>
    </row>
    <row r="678">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c r="AA678" s="40"/>
      <c r="AB678" s="40"/>
    </row>
    <row r="679">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c r="AA679" s="40"/>
      <c r="AB679" s="40"/>
    </row>
    <row r="680">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c r="AA680" s="40"/>
      <c r="AB680" s="40"/>
    </row>
    <row r="681">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c r="AA681" s="40"/>
      <c r="AB681" s="40"/>
    </row>
    <row r="682">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c r="AA682" s="40"/>
      <c r="AB682" s="40"/>
    </row>
    <row r="683">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c r="AA683" s="40"/>
      <c r="AB683" s="40"/>
    </row>
    <row r="684">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c r="AA684" s="40"/>
      <c r="AB684" s="40"/>
    </row>
    <row r="685">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c r="AA685" s="40"/>
      <c r="AB685" s="40"/>
    </row>
    <row r="686">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c r="AA686" s="40"/>
      <c r="AB686" s="40"/>
    </row>
    <row r="687">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c r="AA687" s="40"/>
      <c r="AB687" s="40"/>
    </row>
    <row r="688">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c r="AA688" s="40"/>
      <c r="AB688" s="40"/>
    </row>
    <row r="689">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c r="AA689" s="40"/>
      <c r="AB689" s="40"/>
    </row>
    <row r="690">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c r="AA690" s="40"/>
      <c r="AB690" s="40"/>
    </row>
    <row r="691">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c r="AA691" s="40"/>
      <c r="AB691" s="40"/>
    </row>
    <row r="692">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c r="AA692" s="40"/>
      <c r="AB692" s="40"/>
    </row>
    <row r="693">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c r="AA693" s="40"/>
      <c r="AB693" s="40"/>
    </row>
    <row r="694">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c r="AA694" s="40"/>
      <c r="AB694" s="40"/>
    </row>
    <row r="695">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c r="AA695" s="40"/>
      <c r="AB695" s="40"/>
    </row>
    <row r="696">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c r="AA696" s="40"/>
      <c r="AB696" s="40"/>
    </row>
    <row r="697">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c r="AA697" s="40"/>
      <c r="AB697" s="40"/>
    </row>
    <row r="698">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c r="AA698" s="40"/>
      <c r="AB698" s="40"/>
    </row>
    <row r="699">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c r="AA699" s="40"/>
      <c r="AB699" s="40"/>
    </row>
    <row r="700">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c r="AA700" s="40"/>
      <c r="AB700" s="40"/>
    </row>
    <row r="701">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c r="AA701" s="40"/>
      <c r="AB701" s="40"/>
    </row>
    <row r="702">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c r="AA702" s="40"/>
      <c r="AB702" s="40"/>
    </row>
    <row r="703">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c r="AA703" s="40"/>
      <c r="AB703" s="40"/>
    </row>
    <row r="704">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c r="AA704" s="40"/>
      <c r="AB704" s="40"/>
    </row>
    <row r="705">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c r="AA705" s="40"/>
      <c r="AB705" s="40"/>
    </row>
    <row r="706">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c r="AA706" s="40"/>
      <c r="AB706" s="40"/>
    </row>
    <row r="707">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c r="AA707" s="40"/>
      <c r="AB707" s="40"/>
    </row>
    <row r="708">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c r="AA708" s="40"/>
      <c r="AB708" s="40"/>
    </row>
    <row r="709">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c r="AA709" s="40"/>
      <c r="AB709" s="40"/>
    </row>
    <row r="710">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c r="AA710" s="40"/>
      <c r="AB710" s="40"/>
    </row>
    <row r="711">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c r="AA711" s="40"/>
      <c r="AB711" s="40"/>
    </row>
    <row r="712">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c r="AA712" s="40"/>
      <c r="AB712" s="40"/>
    </row>
    <row r="713">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c r="AA713" s="40"/>
      <c r="AB713" s="40"/>
    </row>
    <row r="714">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c r="AA714" s="40"/>
      <c r="AB714" s="40"/>
    </row>
    <row r="715">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c r="AA715" s="40"/>
      <c r="AB715" s="40"/>
    </row>
    <row r="716">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c r="AA716" s="40"/>
      <c r="AB716" s="40"/>
    </row>
    <row r="717">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c r="AA717" s="40"/>
      <c r="AB717" s="40"/>
    </row>
    <row r="718">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c r="AA718" s="40"/>
      <c r="AB718" s="40"/>
    </row>
    <row r="719">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c r="AA719" s="40"/>
      <c r="AB719" s="40"/>
    </row>
    <row r="720">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c r="AA720" s="40"/>
      <c r="AB720" s="40"/>
    </row>
    <row r="721">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c r="AA721" s="40"/>
      <c r="AB721" s="40"/>
    </row>
    <row r="722">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c r="AA722" s="40"/>
      <c r="AB722" s="40"/>
    </row>
    <row r="723">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c r="AA723" s="40"/>
      <c r="AB723" s="40"/>
    </row>
    <row r="724">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c r="AA724" s="40"/>
      <c r="AB724" s="40"/>
    </row>
    <row r="725">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c r="AA725" s="40"/>
      <c r="AB725" s="40"/>
    </row>
    <row r="726">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c r="AA726" s="40"/>
      <c r="AB726" s="40"/>
    </row>
    <row r="727">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c r="AA727" s="40"/>
      <c r="AB727" s="40"/>
    </row>
    <row r="728">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c r="AA728" s="40"/>
      <c r="AB728" s="40"/>
    </row>
    <row r="729">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c r="AA729" s="40"/>
      <c r="AB729" s="40"/>
    </row>
    <row r="730">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c r="AA730" s="40"/>
      <c r="AB730" s="40"/>
    </row>
    <row r="731">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c r="AA731" s="40"/>
      <c r="AB731" s="40"/>
    </row>
    <row r="732">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c r="AA732" s="40"/>
      <c r="AB732" s="40"/>
    </row>
    <row r="733">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c r="AA733" s="40"/>
      <c r="AB733" s="40"/>
    </row>
    <row r="734">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c r="AA734" s="40"/>
      <c r="AB734" s="40"/>
    </row>
    <row r="735">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c r="AA735" s="40"/>
      <c r="AB735" s="40"/>
    </row>
    <row r="736">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c r="AA736" s="40"/>
      <c r="AB736" s="40"/>
    </row>
    <row r="737">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c r="AA737" s="40"/>
      <c r="AB737" s="40"/>
    </row>
    <row r="738">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c r="AA738" s="40"/>
      <c r="AB738" s="40"/>
    </row>
    <row r="739">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c r="AA739" s="40"/>
      <c r="AB739" s="40"/>
    </row>
    <row r="740">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c r="AA740" s="40"/>
      <c r="AB740" s="40"/>
    </row>
    <row r="741">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c r="AA741" s="40"/>
      <c r="AB741" s="40"/>
    </row>
    <row r="742">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c r="AA742" s="40"/>
      <c r="AB742" s="40"/>
    </row>
    <row r="743">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c r="AA743" s="40"/>
      <c r="AB743" s="40"/>
    </row>
    <row r="744">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c r="AA744" s="40"/>
      <c r="AB744" s="40"/>
    </row>
    <row r="745">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c r="AA745" s="40"/>
      <c r="AB745" s="40"/>
    </row>
    <row r="746">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c r="AA746" s="40"/>
      <c r="AB746" s="40"/>
    </row>
    <row r="747">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c r="AA747" s="40"/>
      <c r="AB747" s="40"/>
    </row>
    <row r="748">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c r="AA748" s="40"/>
      <c r="AB748" s="40"/>
    </row>
    <row r="749">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c r="AA749" s="40"/>
      <c r="AB749" s="40"/>
    </row>
    <row r="750">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c r="AA750" s="40"/>
      <c r="AB750" s="40"/>
    </row>
    <row r="751">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c r="AA751" s="40"/>
      <c r="AB751" s="40"/>
    </row>
    <row r="752">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c r="AA752" s="40"/>
      <c r="AB752" s="40"/>
    </row>
    <row r="753">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c r="AA753" s="40"/>
      <c r="AB753" s="40"/>
    </row>
    <row r="754">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c r="AA754" s="40"/>
      <c r="AB754" s="40"/>
    </row>
    <row r="755">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c r="AA755" s="40"/>
      <c r="AB755" s="40"/>
    </row>
    <row r="756">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c r="AA756" s="40"/>
      <c r="AB756" s="40"/>
    </row>
    <row r="757">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c r="AA757" s="40"/>
      <c r="AB757" s="40"/>
    </row>
    <row r="758">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c r="AA758" s="40"/>
      <c r="AB758" s="40"/>
    </row>
    <row r="759">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c r="AA759" s="40"/>
      <c r="AB759" s="40"/>
    </row>
    <row r="760">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c r="AA760" s="40"/>
      <c r="AB760" s="40"/>
    </row>
    <row r="761">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c r="AA761" s="40"/>
      <c r="AB761" s="40"/>
    </row>
    <row r="762">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c r="AA762" s="40"/>
      <c r="AB762" s="40"/>
    </row>
    <row r="763">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c r="AA763" s="40"/>
      <c r="AB763" s="40"/>
    </row>
    <row r="764">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c r="AA764" s="40"/>
      <c r="AB764" s="40"/>
    </row>
    <row r="765">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c r="AA765" s="40"/>
      <c r="AB765" s="40"/>
    </row>
    <row r="766">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c r="AA766" s="40"/>
      <c r="AB766" s="40"/>
    </row>
    <row r="767">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c r="AA767" s="40"/>
      <c r="AB767" s="40"/>
    </row>
    <row r="768">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c r="AA768" s="40"/>
      <c r="AB768" s="40"/>
    </row>
    <row r="769">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c r="AA769" s="40"/>
      <c r="AB769" s="40"/>
    </row>
    <row r="770">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c r="AA770" s="40"/>
      <c r="AB770" s="40"/>
    </row>
    <row r="771">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c r="AA771" s="40"/>
      <c r="AB771" s="40"/>
    </row>
    <row r="772">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c r="AA772" s="40"/>
      <c r="AB772" s="40"/>
    </row>
    <row r="773">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c r="AA773" s="40"/>
      <c r="AB773" s="40"/>
    </row>
    <row r="774">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c r="AA774" s="40"/>
      <c r="AB774" s="40"/>
    </row>
    <row r="775">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c r="AA775" s="40"/>
      <c r="AB775" s="40"/>
    </row>
    <row r="776">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c r="AA776" s="40"/>
      <c r="AB776" s="40"/>
    </row>
    <row r="777">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c r="AA777" s="40"/>
      <c r="AB777" s="40"/>
    </row>
    <row r="778">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c r="AA778" s="40"/>
      <c r="AB778" s="40"/>
    </row>
    <row r="779">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c r="AA779" s="40"/>
      <c r="AB779" s="40"/>
    </row>
    <row r="780">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c r="AA780" s="40"/>
      <c r="AB780" s="40"/>
    </row>
    <row r="781">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c r="AA781" s="40"/>
      <c r="AB781" s="40"/>
    </row>
    <row r="782">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c r="AA782" s="40"/>
      <c r="AB782" s="40"/>
    </row>
    <row r="783">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c r="AA783" s="40"/>
      <c r="AB783" s="40"/>
    </row>
    <row r="784">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c r="AA784" s="40"/>
      <c r="AB784" s="40"/>
    </row>
    <row r="785">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c r="AA785" s="40"/>
      <c r="AB785" s="40"/>
    </row>
    <row r="786">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c r="AA786" s="40"/>
      <c r="AB786" s="40"/>
    </row>
    <row r="787">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c r="AA787" s="40"/>
      <c r="AB787" s="40"/>
    </row>
    <row r="788">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c r="AA788" s="40"/>
      <c r="AB788" s="40"/>
    </row>
    <row r="789">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c r="AA789" s="40"/>
      <c r="AB789" s="40"/>
    </row>
    <row r="790">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c r="AA790" s="40"/>
      <c r="AB790" s="40"/>
    </row>
    <row r="791">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c r="AA791" s="40"/>
      <c r="AB791" s="40"/>
    </row>
    <row r="792">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c r="AA792" s="40"/>
      <c r="AB792" s="40"/>
    </row>
    <row r="793">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c r="AA793" s="40"/>
      <c r="AB793" s="40"/>
    </row>
    <row r="794">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c r="AA794" s="40"/>
      <c r="AB794" s="40"/>
    </row>
    <row r="795">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c r="AA795" s="40"/>
      <c r="AB795" s="40"/>
    </row>
    <row r="796">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c r="AA796" s="40"/>
      <c r="AB796" s="40"/>
    </row>
    <row r="797">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c r="AA797" s="40"/>
      <c r="AB797" s="40"/>
    </row>
    <row r="798">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c r="AA798" s="40"/>
      <c r="AB798" s="40"/>
    </row>
    <row r="799">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c r="AA799" s="40"/>
      <c r="AB799" s="40"/>
    </row>
    <row r="800">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c r="AA800" s="40"/>
      <c r="AB800" s="40"/>
    </row>
    <row r="801">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c r="AA801" s="40"/>
      <c r="AB801" s="40"/>
    </row>
    <row r="802">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c r="AA802" s="40"/>
      <c r="AB802" s="40"/>
    </row>
    <row r="803">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c r="AA803" s="40"/>
      <c r="AB803" s="40"/>
    </row>
    <row r="804">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c r="AA804" s="40"/>
      <c r="AB804" s="40"/>
    </row>
    <row r="805">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c r="AA805" s="40"/>
      <c r="AB805" s="40"/>
    </row>
    <row r="806">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c r="AA806" s="40"/>
      <c r="AB806" s="40"/>
    </row>
    <row r="807">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c r="AA807" s="40"/>
      <c r="AB807" s="40"/>
    </row>
    <row r="808">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c r="AA808" s="40"/>
      <c r="AB808" s="40"/>
    </row>
    <row r="809">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c r="AA809" s="40"/>
      <c r="AB809" s="40"/>
    </row>
    <row r="810">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c r="AA810" s="40"/>
      <c r="AB810" s="40"/>
    </row>
    <row r="811">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c r="AA811" s="40"/>
      <c r="AB811" s="40"/>
    </row>
    <row r="812">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c r="AA812" s="40"/>
      <c r="AB812" s="40"/>
    </row>
    <row r="813">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c r="AA813" s="40"/>
      <c r="AB813" s="40"/>
    </row>
    <row r="814">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c r="AA814" s="40"/>
      <c r="AB814" s="40"/>
    </row>
    <row r="815">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c r="AA815" s="40"/>
      <c r="AB815" s="40"/>
    </row>
    <row r="816">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c r="AA816" s="40"/>
      <c r="AB816" s="40"/>
    </row>
    <row r="817">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c r="AA817" s="40"/>
      <c r="AB817" s="40"/>
    </row>
    <row r="818">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c r="AA818" s="40"/>
      <c r="AB818" s="40"/>
    </row>
    <row r="819">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c r="AA819" s="40"/>
      <c r="AB819" s="40"/>
    </row>
    <row r="820">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c r="AA820" s="40"/>
      <c r="AB820" s="40"/>
    </row>
    <row r="821">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c r="AA821" s="40"/>
      <c r="AB821" s="40"/>
    </row>
    <row r="822">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c r="AA822" s="40"/>
      <c r="AB822" s="40"/>
    </row>
    <row r="823">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c r="AA823" s="40"/>
      <c r="AB823" s="40"/>
    </row>
    <row r="824">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c r="AA824" s="40"/>
      <c r="AB824" s="40"/>
    </row>
    <row r="825">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c r="AA825" s="40"/>
      <c r="AB825" s="40"/>
    </row>
    <row r="826">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c r="AA826" s="40"/>
      <c r="AB826" s="40"/>
    </row>
    <row r="827">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c r="AA827" s="40"/>
      <c r="AB827" s="40"/>
    </row>
    <row r="828">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c r="AA828" s="40"/>
      <c r="AB828" s="40"/>
    </row>
    <row r="829">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c r="AA829" s="40"/>
      <c r="AB829" s="40"/>
    </row>
    <row r="830">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c r="AA830" s="40"/>
      <c r="AB830" s="40"/>
    </row>
    <row r="831">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c r="AA831" s="40"/>
      <c r="AB831" s="40"/>
    </row>
    <row r="832">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c r="AA832" s="40"/>
      <c r="AB832" s="40"/>
    </row>
    <row r="833">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c r="AA833" s="40"/>
      <c r="AB833" s="40"/>
    </row>
    <row r="834">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c r="AA834" s="40"/>
      <c r="AB834" s="40"/>
    </row>
    <row r="835">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c r="AA835" s="40"/>
      <c r="AB835" s="40"/>
    </row>
    <row r="836">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c r="AA836" s="40"/>
      <c r="AB836" s="40"/>
    </row>
    <row r="837">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c r="AA837" s="40"/>
      <c r="AB837" s="40"/>
    </row>
    <row r="838">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c r="AA838" s="40"/>
      <c r="AB838" s="40"/>
    </row>
    <row r="839">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c r="AA839" s="40"/>
      <c r="AB839" s="40"/>
    </row>
    <row r="840">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c r="AA840" s="40"/>
      <c r="AB840" s="40"/>
    </row>
    <row r="841">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c r="AA841" s="40"/>
      <c r="AB841" s="40"/>
    </row>
    <row r="842">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c r="AA842" s="40"/>
      <c r="AB842" s="40"/>
    </row>
    <row r="843">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c r="AA843" s="40"/>
      <c r="AB843" s="40"/>
    </row>
    <row r="844">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c r="AA844" s="40"/>
      <c r="AB844" s="40"/>
    </row>
    <row r="845">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c r="AA845" s="40"/>
      <c r="AB845" s="40"/>
    </row>
    <row r="846">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c r="AA846" s="40"/>
      <c r="AB846" s="40"/>
    </row>
    <row r="847">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c r="AA847" s="40"/>
      <c r="AB847" s="40"/>
    </row>
    <row r="848">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c r="AA848" s="40"/>
      <c r="AB848" s="40"/>
    </row>
    <row r="849">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c r="AA849" s="40"/>
      <c r="AB849" s="40"/>
    </row>
    <row r="850">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c r="AA850" s="40"/>
      <c r="AB850" s="40"/>
    </row>
    <row r="851">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c r="AA851" s="40"/>
      <c r="AB851" s="40"/>
    </row>
    <row r="852">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c r="AA852" s="40"/>
      <c r="AB852" s="40"/>
    </row>
    <row r="853">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c r="AA853" s="40"/>
      <c r="AB853" s="40"/>
    </row>
    <row r="854">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c r="AA854" s="40"/>
      <c r="AB854" s="40"/>
    </row>
    <row r="855">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c r="AA855" s="40"/>
      <c r="AB855" s="40"/>
    </row>
    <row r="856">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c r="AA856" s="40"/>
      <c r="AB856" s="40"/>
    </row>
    <row r="857">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c r="AA857" s="40"/>
      <c r="AB857" s="40"/>
    </row>
    <row r="858">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c r="AA858" s="40"/>
      <c r="AB858" s="40"/>
    </row>
    <row r="859">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c r="AA859" s="40"/>
      <c r="AB859" s="40"/>
    </row>
    <row r="860">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c r="AA860" s="40"/>
      <c r="AB860" s="40"/>
    </row>
    <row r="861">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c r="AA861" s="40"/>
      <c r="AB861" s="40"/>
    </row>
    <row r="862">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c r="AA862" s="40"/>
      <c r="AB862" s="40"/>
    </row>
    <row r="863">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c r="AA863" s="40"/>
      <c r="AB863" s="40"/>
    </row>
    <row r="864">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c r="AA864" s="40"/>
      <c r="AB864" s="40"/>
    </row>
    <row r="865">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c r="AA865" s="40"/>
      <c r="AB865" s="40"/>
    </row>
    <row r="866">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c r="AA866" s="40"/>
      <c r="AB866" s="40"/>
    </row>
    <row r="867">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c r="AA867" s="40"/>
      <c r="AB867" s="40"/>
    </row>
    <row r="868">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c r="AA868" s="40"/>
      <c r="AB868" s="40"/>
    </row>
    <row r="869">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c r="AA869" s="40"/>
      <c r="AB869" s="40"/>
    </row>
    <row r="870">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c r="AA870" s="40"/>
      <c r="AB870" s="40"/>
    </row>
    <row r="871">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c r="AA871" s="40"/>
      <c r="AB871" s="40"/>
    </row>
    <row r="872">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c r="AA872" s="40"/>
      <c r="AB872" s="40"/>
    </row>
    <row r="873">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c r="AA873" s="40"/>
      <c r="AB873" s="40"/>
    </row>
    <row r="874">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c r="AA874" s="40"/>
      <c r="AB874" s="40"/>
    </row>
    <row r="875">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c r="AA875" s="40"/>
      <c r="AB875" s="40"/>
    </row>
    <row r="876">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c r="AA876" s="40"/>
      <c r="AB876" s="40"/>
    </row>
    <row r="877">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c r="AA877" s="40"/>
      <c r="AB877" s="40"/>
    </row>
    <row r="878">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c r="AA878" s="40"/>
      <c r="AB878" s="40"/>
    </row>
    <row r="879">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c r="AA879" s="40"/>
      <c r="AB879" s="40"/>
    </row>
    <row r="880">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c r="AA880" s="40"/>
      <c r="AB880" s="40"/>
    </row>
    <row r="881">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c r="AA881" s="40"/>
      <c r="AB881" s="40"/>
    </row>
    <row r="882">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c r="AA882" s="40"/>
      <c r="AB882" s="40"/>
    </row>
    <row r="883">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c r="AA883" s="40"/>
      <c r="AB883" s="40"/>
    </row>
    <row r="884">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c r="AA884" s="40"/>
      <c r="AB884" s="40"/>
    </row>
    <row r="885">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c r="AA885" s="40"/>
      <c r="AB885" s="40"/>
    </row>
    <row r="886">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c r="AA886" s="40"/>
      <c r="AB886" s="40"/>
    </row>
    <row r="887">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c r="AA887" s="40"/>
      <c r="AB887" s="40"/>
    </row>
    <row r="888">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c r="AA888" s="40"/>
      <c r="AB888" s="40"/>
    </row>
    <row r="889">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c r="AA889" s="40"/>
      <c r="AB889" s="40"/>
    </row>
    <row r="890">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c r="AA890" s="40"/>
      <c r="AB890" s="40"/>
    </row>
    <row r="891">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c r="AA891" s="40"/>
      <c r="AB891" s="40"/>
    </row>
    <row r="892">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c r="AA892" s="40"/>
      <c r="AB892" s="40"/>
    </row>
    <row r="893">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c r="AA893" s="40"/>
      <c r="AB893" s="40"/>
    </row>
    <row r="894">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c r="AA894" s="40"/>
      <c r="AB894" s="40"/>
    </row>
    <row r="895">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c r="AA895" s="40"/>
      <c r="AB895" s="40"/>
    </row>
    <row r="896">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c r="AA896" s="40"/>
      <c r="AB896" s="40"/>
    </row>
    <row r="897">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c r="AA897" s="40"/>
      <c r="AB897" s="40"/>
    </row>
    <row r="898">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c r="AA898" s="40"/>
      <c r="AB898" s="40"/>
    </row>
    <row r="899">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c r="AA899" s="40"/>
      <c r="AB899" s="40"/>
    </row>
    <row r="900">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c r="AA900" s="40"/>
      <c r="AB900" s="40"/>
    </row>
    <row r="901">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c r="AA901" s="40"/>
      <c r="AB901" s="40"/>
    </row>
    <row r="902">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c r="AA902" s="40"/>
      <c r="AB902" s="40"/>
    </row>
    <row r="903">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c r="AA903" s="40"/>
      <c r="AB903" s="40"/>
    </row>
    <row r="904">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c r="AA904" s="40"/>
      <c r="AB904" s="40"/>
    </row>
    <row r="905">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c r="AA905" s="40"/>
      <c r="AB905" s="40"/>
    </row>
    <row r="906">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c r="AA906" s="40"/>
      <c r="AB906" s="40"/>
    </row>
    <row r="907">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c r="AA907" s="40"/>
      <c r="AB907" s="40"/>
    </row>
    <row r="908">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c r="AA908" s="40"/>
      <c r="AB908" s="40"/>
    </row>
    <row r="909">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c r="AA909" s="40"/>
      <c r="AB909" s="40"/>
    </row>
    <row r="910">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c r="AA910" s="40"/>
      <c r="AB910" s="40"/>
    </row>
    <row r="911">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c r="AA911" s="40"/>
      <c r="AB911" s="40"/>
    </row>
    <row r="912">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c r="AA912" s="40"/>
      <c r="AB912" s="40"/>
    </row>
    <row r="913">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c r="AA913" s="40"/>
      <c r="AB913" s="40"/>
    </row>
    <row r="914">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c r="AA914" s="40"/>
      <c r="AB914" s="40"/>
    </row>
    <row r="915">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c r="AA915" s="40"/>
      <c r="AB915" s="40"/>
    </row>
    <row r="916">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c r="AA916" s="40"/>
      <c r="AB916" s="40"/>
    </row>
    <row r="917">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c r="AA917" s="40"/>
      <c r="AB917" s="40"/>
    </row>
    <row r="918">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c r="AA918" s="40"/>
      <c r="AB918" s="40"/>
    </row>
    <row r="919">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c r="AA919" s="40"/>
      <c r="AB919" s="40"/>
    </row>
    <row r="920">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c r="AA920" s="40"/>
      <c r="AB920" s="40"/>
    </row>
    <row r="921">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c r="AA921" s="40"/>
      <c r="AB921" s="40"/>
    </row>
    <row r="922">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c r="AA922" s="40"/>
      <c r="AB922" s="40"/>
    </row>
    <row r="923">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c r="AA923" s="40"/>
      <c r="AB923" s="40"/>
    </row>
    <row r="924">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c r="AA924" s="40"/>
      <c r="AB924" s="40"/>
    </row>
    <row r="925">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c r="AA925" s="40"/>
      <c r="AB925" s="40"/>
    </row>
    <row r="926">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c r="AA926" s="40"/>
      <c r="AB926" s="40"/>
    </row>
    <row r="927">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c r="AA927" s="40"/>
      <c r="AB927" s="40"/>
    </row>
    <row r="928">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c r="AA928" s="40"/>
      <c r="AB928" s="40"/>
    </row>
    <row r="929">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c r="AA929" s="40"/>
      <c r="AB929" s="40"/>
    </row>
    <row r="930">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c r="AA930" s="40"/>
      <c r="AB930" s="40"/>
    </row>
    <row r="931">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c r="AA931" s="40"/>
      <c r="AB931" s="40"/>
    </row>
    <row r="932">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c r="AA932" s="40"/>
      <c r="AB932" s="40"/>
    </row>
    <row r="933">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c r="AA933" s="40"/>
      <c r="AB933" s="40"/>
    </row>
    <row r="934">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c r="AA934" s="40"/>
      <c r="AB934" s="40"/>
    </row>
    <row r="935">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c r="AA935" s="40"/>
      <c r="AB935" s="40"/>
    </row>
    <row r="936">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c r="AA936" s="40"/>
      <c r="AB936" s="40"/>
    </row>
    <row r="937">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c r="AA937" s="40"/>
      <c r="AB937" s="40"/>
    </row>
    <row r="938">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c r="AA938" s="40"/>
      <c r="AB938" s="40"/>
    </row>
    <row r="939">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c r="AA939" s="40"/>
      <c r="AB939" s="40"/>
    </row>
    <row r="940">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c r="AA940" s="40"/>
      <c r="AB940" s="40"/>
    </row>
    <row r="941">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c r="AA941" s="40"/>
      <c r="AB941" s="40"/>
    </row>
    <row r="942">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c r="AA942" s="40"/>
      <c r="AB942" s="40"/>
    </row>
    <row r="943">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c r="AA943" s="40"/>
      <c r="AB943" s="40"/>
    </row>
    <row r="944">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c r="AA944" s="40"/>
      <c r="AB944" s="40"/>
    </row>
    <row r="945">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c r="AA945" s="40"/>
      <c r="AB945" s="40"/>
    </row>
    <row r="946">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c r="AA946" s="40"/>
      <c r="AB946" s="40"/>
    </row>
    <row r="947">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c r="AA947" s="40"/>
      <c r="AB947" s="40"/>
    </row>
    <row r="948">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c r="AA948" s="40"/>
      <c r="AB948" s="40"/>
    </row>
    <row r="949">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c r="AA949" s="40"/>
      <c r="AB949" s="40"/>
    </row>
    <row r="950">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c r="AA950" s="40"/>
      <c r="AB950" s="40"/>
    </row>
    <row r="951">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c r="AA951" s="40"/>
      <c r="AB951" s="40"/>
    </row>
    <row r="952">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c r="AA952" s="40"/>
      <c r="AB952" s="40"/>
    </row>
    <row r="953">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c r="AA953" s="40"/>
      <c r="AB953" s="40"/>
    </row>
    <row r="954">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c r="AA954" s="40"/>
      <c r="AB954" s="40"/>
    </row>
    <row r="955">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c r="AA955" s="40"/>
      <c r="AB955" s="40"/>
    </row>
    <row r="956">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c r="AA956" s="40"/>
      <c r="AB956" s="40"/>
    </row>
    <row r="957">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c r="AA957" s="40"/>
      <c r="AB957" s="40"/>
    </row>
    <row r="958">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c r="AA958" s="40"/>
      <c r="AB958" s="40"/>
    </row>
    <row r="959">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c r="AA959" s="40"/>
      <c r="AB959" s="40"/>
    </row>
    <row r="960">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c r="AA960" s="40"/>
      <c r="AB960" s="40"/>
    </row>
    <row r="961">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c r="AA961" s="40"/>
      <c r="AB961" s="40"/>
    </row>
    <row r="962">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c r="AA962" s="40"/>
      <c r="AB962" s="40"/>
    </row>
    <row r="963">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c r="AA963" s="40"/>
      <c r="AB963" s="40"/>
    </row>
    <row r="964">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c r="AA964" s="40"/>
      <c r="AB964" s="40"/>
    </row>
    <row r="965">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c r="AA965" s="40"/>
      <c r="AB965" s="40"/>
    </row>
    <row r="966">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c r="AA966" s="40"/>
      <c r="AB966" s="40"/>
    </row>
    <row r="967">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c r="AA967" s="40"/>
      <c r="AB967" s="40"/>
    </row>
    <row r="968">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c r="AA968" s="40"/>
      <c r="AB968" s="40"/>
    </row>
    <row r="969">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c r="AA969" s="40"/>
      <c r="AB969" s="40"/>
    </row>
    <row r="970">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c r="AA970" s="40"/>
      <c r="AB970" s="40"/>
    </row>
    <row r="971">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c r="AA971" s="40"/>
      <c r="AB971" s="40"/>
    </row>
    <row r="972">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c r="AA972" s="40"/>
      <c r="AB972" s="40"/>
    </row>
    <row r="973">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c r="AA973" s="40"/>
      <c r="AB973" s="40"/>
    </row>
    <row r="974">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c r="AA974" s="40"/>
      <c r="AB974" s="40"/>
    </row>
    <row r="975">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c r="AA975" s="40"/>
      <c r="AB975" s="40"/>
    </row>
    <row r="976">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c r="AA976" s="40"/>
      <c r="AB976" s="40"/>
    </row>
    <row r="977">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c r="AA977" s="40"/>
      <c r="AB977" s="40"/>
    </row>
    <row r="978">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c r="AA978" s="40"/>
      <c r="AB978" s="40"/>
    </row>
    <row r="979">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c r="AA979" s="40"/>
      <c r="AB979" s="40"/>
    </row>
    <row r="980">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c r="AA980" s="40"/>
      <c r="AB980" s="40"/>
    </row>
    <row r="981">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c r="AA981" s="40"/>
      <c r="AB981" s="40"/>
    </row>
    <row r="982">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c r="AA982" s="40"/>
      <c r="AB982" s="40"/>
    </row>
    <row r="983">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c r="AA983" s="40"/>
      <c r="AB983" s="40"/>
    </row>
    <row r="984">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c r="AA984" s="40"/>
      <c r="AB984" s="40"/>
    </row>
    <row r="985">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c r="AA985" s="40"/>
      <c r="AB985" s="40"/>
    </row>
    <row r="986">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c r="AA986" s="40"/>
      <c r="AB986" s="40"/>
    </row>
    <row r="987">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c r="AA987" s="40"/>
      <c r="AB987" s="40"/>
    </row>
    <row r="988">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c r="AA988" s="40"/>
      <c r="AB988" s="40"/>
    </row>
    <row r="989">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c r="AA989" s="40"/>
      <c r="AB989" s="40"/>
    </row>
    <row r="990">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c r="AA990" s="40"/>
      <c r="AB990" s="40"/>
    </row>
    <row r="991">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c r="AA991" s="40"/>
      <c r="AB991" s="40"/>
    </row>
    <row r="992">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c r="AA992" s="40"/>
      <c r="AB992" s="40"/>
    </row>
    <row r="993">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c r="AA993" s="40"/>
      <c r="AB993" s="40"/>
    </row>
    <row r="994">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c r="AA994" s="40"/>
      <c r="AB994" s="40"/>
    </row>
    <row r="995">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c r="AA995" s="40"/>
      <c r="AB995" s="40"/>
    </row>
    <row r="996">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c r="AA996" s="40"/>
      <c r="AB996" s="40"/>
    </row>
    <row r="997">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c r="AA997" s="40"/>
      <c r="AB997" s="40"/>
    </row>
    <row r="998">
      <c r="A998" s="40"/>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c r="AA998" s="40"/>
      <c r="AB998" s="40"/>
    </row>
    <row r="999">
      <c r="A999" s="40"/>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c r="AA999" s="40"/>
      <c r="AB999" s="40"/>
    </row>
    <row r="1000">
      <c r="A1000" s="40"/>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c r="AA1000" s="40"/>
      <c r="AB1000" s="40"/>
    </row>
    <row r="1001">
      <c r="A1001" s="40"/>
      <c r="B1001" s="40"/>
      <c r="C1001" s="40"/>
      <c r="D1001" s="40"/>
      <c r="E1001" s="40"/>
      <c r="F1001" s="40"/>
      <c r="G1001" s="40"/>
      <c r="H1001" s="40"/>
      <c r="I1001" s="40"/>
      <c r="J1001" s="40"/>
      <c r="K1001" s="40"/>
      <c r="L1001" s="40"/>
      <c r="M1001" s="40"/>
      <c r="N1001" s="40"/>
      <c r="O1001" s="40"/>
      <c r="P1001" s="40"/>
      <c r="Q1001" s="40"/>
      <c r="R1001" s="40"/>
      <c r="S1001" s="40"/>
      <c r="T1001" s="40"/>
      <c r="U1001" s="40"/>
      <c r="V1001" s="40"/>
      <c r="W1001" s="40"/>
      <c r="X1001" s="40"/>
      <c r="Y1001" s="40"/>
      <c r="Z1001" s="40"/>
      <c r="AA1001" s="40"/>
      <c r="AB1001" s="40"/>
    </row>
    <row r="1002">
      <c r="A1002" s="40"/>
      <c r="B1002" s="40"/>
      <c r="C1002" s="40"/>
      <c r="D1002" s="40"/>
      <c r="E1002" s="40"/>
      <c r="F1002" s="40"/>
      <c r="G1002" s="40"/>
      <c r="H1002" s="40"/>
      <c r="I1002" s="40"/>
      <c r="J1002" s="40"/>
      <c r="K1002" s="40"/>
      <c r="L1002" s="40"/>
      <c r="M1002" s="40"/>
      <c r="N1002" s="40"/>
      <c r="O1002" s="40"/>
      <c r="P1002" s="40"/>
      <c r="Q1002" s="40"/>
      <c r="R1002" s="40"/>
      <c r="S1002" s="40"/>
      <c r="T1002" s="40"/>
      <c r="U1002" s="40"/>
      <c r="V1002" s="40"/>
      <c r="W1002" s="40"/>
      <c r="X1002" s="40"/>
      <c r="Y1002" s="40"/>
      <c r="Z1002" s="40"/>
      <c r="AA1002" s="40"/>
      <c r="AB1002" s="40"/>
    </row>
    <row r="1003">
      <c r="A1003" s="40"/>
      <c r="B1003" s="40"/>
      <c r="C1003" s="40"/>
      <c r="D1003" s="40"/>
      <c r="E1003" s="40"/>
      <c r="F1003" s="40"/>
      <c r="G1003" s="40"/>
      <c r="H1003" s="40"/>
      <c r="I1003" s="40"/>
      <c r="J1003" s="40"/>
      <c r="K1003" s="40"/>
      <c r="L1003" s="40"/>
      <c r="M1003" s="40"/>
      <c r="N1003" s="40"/>
      <c r="O1003" s="40"/>
      <c r="P1003" s="40"/>
      <c r="Q1003" s="40"/>
      <c r="R1003" s="40"/>
      <c r="S1003" s="40"/>
      <c r="T1003" s="40"/>
      <c r="U1003" s="40"/>
      <c r="V1003" s="40"/>
      <c r="W1003" s="40"/>
      <c r="X1003" s="40"/>
      <c r="Y1003" s="40"/>
      <c r="Z1003" s="40"/>
      <c r="AA1003" s="40"/>
      <c r="AB1003" s="40"/>
    </row>
    <row r="1004">
      <c r="A1004" s="40"/>
      <c r="B1004" s="40"/>
      <c r="C1004" s="40"/>
      <c r="D1004" s="40"/>
      <c r="E1004" s="40"/>
      <c r="F1004" s="40"/>
      <c r="G1004" s="40"/>
      <c r="H1004" s="40"/>
      <c r="I1004" s="40"/>
      <c r="J1004" s="40"/>
      <c r="K1004" s="40"/>
      <c r="L1004" s="40"/>
      <c r="M1004" s="40"/>
      <c r="N1004" s="40"/>
      <c r="O1004" s="40"/>
      <c r="P1004" s="40"/>
      <c r="Q1004" s="40"/>
      <c r="R1004" s="40"/>
      <c r="S1004" s="40"/>
      <c r="T1004" s="40"/>
      <c r="U1004" s="40"/>
      <c r="V1004" s="40"/>
      <c r="W1004" s="40"/>
      <c r="X1004" s="40"/>
      <c r="Y1004" s="40"/>
      <c r="Z1004" s="40"/>
      <c r="AA1004" s="40"/>
      <c r="AB1004" s="40"/>
    </row>
    <row r="1005">
      <c r="A1005" s="40"/>
      <c r="B1005" s="40"/>
      <c r="C1005" s="40"/>
      <c r="D1005" s="40"/>
      <c r="E1005" s="40"/>
      <c r="F1005" s="40"/>
      <c r="G1005" s="40"/>
      <c r="H1005" s="40"/>
      <c r="I1005" s="40"/>
      <c r="J1005" s="40"/>
      <c r="K1005" s="40"/>
      <c r="L1005" s="40"/>
      <c r="M1005" s="40"/>
      <c r="N1005" s="40"/>
      <c r="O1005" s="40"/>
      <c r="P1005" s="40"/>
      <c r="Q1005" s="40"/>
      <c r="R1005" s="40"/>
      <c r="S1005" s="40"/>
      <c r="T1005" s="40"/>
      <c r="U1005" s="40"/>
      <c r="V1005" s="40"/>
      <c r="W1005" s="40"/>
      <c r="X1005" s="40"/>
      <c r="Y1005" s="40"/>
      <c r="Z1005" s="40"/>
      <c r="AA1005" s="40"/>
      <c r="AB1005" s="40"/>
    </row>
    <row r="1006">
      <c r="A1006" s="40"/>
      <c r="B1006" s="40"/>
      <c r="C1006" s="40"/>
      <c r="D1006" s="40"/>
      <c r="E1006" s="40"/>
      <c r="F1006" s="40"/>
      <c r="G1006" s="40"/>
      <c r="H1006" s="40"/>
      <c r="I1006" s="40"/>
      <c r="J1006" s="40"/>
      <c r="K1006" s="40"/>
      <c r="L1006" s="40"/>
      <c r="M1006" s="40"/>
      <c r="N1006" s="40"/>
      <c r="O1006" s="40"/>
      <c r="P1006" s="40"/>
      <c r="Q1006" s="40"/>
      <c r="R1006" s="40"/>
      <c r="S1006" s="40"/>
      <c r="T1006" s="40"/>
      <c r="U1006" s="40"/>
      <c r="V1006" s="40"/>
      <c r="W1006" s="40"/>
      <c r="X1006" s="40"/>
      <c r="Y1006" s="40"/>
      <c r="Z1006" s="40"/>
      <c r="AA1006" s="40"/>
      <c r="AB1006" s="40"/>
    </row>
    <row r="1007">
      <c r="A1007" s="40"/>
      <c r="B1007" s="40"/>
      <c r="C1007" s="40"/>
      <c r="D1007" s="40"/>
      <c r="E1007" s="40"/>
      <c r="F1007" s="40"/>
      <c r="G1007" s="40"/>
      <c r="H1007" s="40"/>
      <c r="I1007" s="40"/>
      <c r="J1007" s="40"/>
      <c r="K1007" s="40"/>
      <c r="L1007" s="40"/>
      <c r="M1007" s="40"/>
      <c r="N1007" s="40"/>
      <c r="O1007" s="40"/>
      <c r="P1007" s="40"/>
      <c r="Q1007" s="40"/>
      <c r="R1007" s="40"/>
      <c r="S1007" s="40"/>
      <c r="T1007" s="40"/>
      <c r="U1007" s="40"/>
      <c r="V1007" s="40"/>
      <c r="W1007" s="40"/>
      <c r="X1007" s="40"/>
      <c r="Y1007" s="40"/>
      <c r="Z1007" s="40"/>
      <c r="AA1007" s="40"/>
      <c r="AB1007" s="40"/>
    </row>
    <row r="1008">
      <c r="A1008" s="40"/>
      <c r="B1008" s="40"/>
      <c r="C1008" s="40"/>
      <c r="D1008" s="40"/>
      <c r="E1008" s="40"/>
      <c r="F1008" s="40"/>
      <c r="G1008" s="40"/>
      <c r="H1008" s="40"/>
      <c r="I1008" s="40"/>
      <c r="J1008" s="40"/>
      <c r="K1008" s="40"/>
      <c r="L1008" s="40"/>
      <c r="M1008" s="40"/>
      <c r="N1008" s="40"/>
      <c r="O1008" s="40"/>
      <c r="P1008" s="40"/>
      <c r="Q1008" s="40"/>
      <c r="R1008" s="40"/>
      <c r="S1008" s="40"/>
      <c r="T1008" s="40"/>
      <c r="U1008" s="40"/>
      <c r="V1008" s="40"/>
      <c r="W1008" s="40"/>
      <c r="X1008" s="40"/>
      <c r="Y1008" s="40"/>
      <c r="Z1008" s="40"/>
      <c r="AA1008" s="40"/>
      <c r="AB1008" s="40"/>
    </row>
    <row r="1009">
      <c r="A1009" s="40"/>
      <c r="B1009" s="40"/>
      <c r="C1009" s="40"/>
      <c r="D1009" s="40"/>
      <c r="E1009" s="40"/>
      <c r="F1009" s="40"/>
      <c r="G1009" s="40"/>
      <c r="H1009" s="40"/>
      <c r="I1009" s="40"/>
      <c r="J1009" s="40"/>
      <c r="K1009" s="40"/>
      <c r="L1009" s="40"/>
      <c r="M1009" s="40"/>
      <c r="N1009" s="40"/>
      <c r="O1009" s="40"/>
      <c r="P1009" s="40"/>
      <c r="Q1009" s="40"/>
      <c r="R1009" s="40"/>
      <c r="S1009" s="40"/>
      <c r="T1009" s="40"/>
      <c r="U1009" s="40"/>
      <c r="V1009" s="40"/>
      <c r="W1009" s="40"/>
      <c r="X1009" s="40"/>
      <c r="Y1009" s="40"/>
      <c r="Z1009" s="40"/>
      <c r="AA1009" s="40"/>
      <c r="AB1009" s="40"/>
    </row>
    <row r="1010">
      <c r="A1010" s="40"/>
      <c r="B1010" s="40"/>
      <c r="C1010" s="40"/>
      <c r="D1010" s="40"/>
      <c r="E1010" s="40"/>
      <c r="F1010" s="40"/>
      <c r="G1010" s="40"/>
      <c r="H1010" s="40"/>
      <c r="I1010" s="40"/>
      <c r="J1010" s="40"/>
      <c r="K1010" s="40"/>
      <c r="L1010" s="40"/>
      <c r="M1010" s="40"/>
      <c r="N1010" s="40"/>
      <c r="O1010" s="40"/>
      <c r="P1010" s="40"/>
      <c r="Q1010" s="40"/>
      <c r="R1010" s="40"/>
      <c r="S1010" s="40"/>
      <c r="T1010" s="40"/>
      <c r="U1010" s="40"/>
      <c r="V1010" s="40"/>
      <c r="W1010" s="40"/>
      <c r="X1010" s="40"/>
      <c r="Y1010" s="40"/>
      <c r="Z1010" s="40"/>
      <c r="AA1010" s="40"/>
      <c r="AB1010" s="40"/>
    </row>
    <row r="1011">
      <c r="A1011" s="40"/>
      <c r="B1011" s="40"/>
      <c r="C1011" s="40"/>
      <c r="D1011" s="40"/>
      <c r="E1011" s="40"/>
      <c r="F1011" s="40"/>
      <c r="G1011" s="40"/>
      <c r="H1011" s="40"/>
      <c r="I1011" s="40"/>
      <c r="J1011" s="40"/>
      <c r="K1011" s="40"/>
      <c r="L1011" s="40"/>
      <c r="M1011" s="40"/>
      <c r="N1011" s="40"/>
      <c r="O1011" s="40"/>
      <c r="P1011" s="40"/>
      <c r="Q1011" s="40"/>
      <c r="R1011" s="40"/>
      <c r="S1011" s="40"/>
      <c r="T1011" s="40"/>
      <c r="U1011" s="40"/>
      <c r="V1011" s="40"/>
      <c r="W1011" s="40"/>
      <c r="X1011" s="40"/>
      <c r="Y1011" s="40"/>
      <c r="Z1011" s="40"/>
      <c r="AA1011" s="40"/>
      <c r="AB1011" s="40"/>
    </row>
    <row r="1012">
      <c r="A1012" s="40"/>
      <c r="B1012" s="40"/>
      <c r="C1012" s="40"/>
      <c r="D1012" s="40"/>
      <c r="E1012" s="40"/>
      <c r="F1012" s="40"/>
      <c r="G1012" s="40"/>
      <c r="H1012" s="40"/>
      <c r="I1012" s="40"/>
      <c r="J1012" s="40"/>
      <c r="K1012" s="40"/>
      <c r="L1012" s="40"/>
      <c r="M1012" s="40"/>
      <c r="N1012" s="40"/>
      <c r="O1012" s="40"/>
      <c r="P1012" s="40"/>
      <c r="Q1012" s="40"/>
      <c r="R1012" s="40"/>
      <c r="S1012" s="40"/>
      <c r="T1012" s="40"/>
      <c r="U1012" s="40"/>
      <c r="V1012" s="40"/>
      <c r="W1012" s="40"/>
      <c r="X1012" s="40"/>
      <c r="Y1012" s="40"/>
      <c r="Z1012" s="40"/>
      <c r="AA1012" s="40"/>
      <c r="AB1012" s="40"/>
    </row>
    <row r="1013">
      <c r="A1013" s="40"/>
      <c r="B1013" s="40"/>
      <c r="C1013" s="40"/>
      <c r="D1013" s="40"/>
      <c r="E1013" s="40"/>
      <c r="F1013" s="40"/>
      <c r="G1013" s="40"/>
      <c r="H1013" s="40"/>
      <c r="I1013" s="40"/>
      <c r="J1013" s="40"/>
      <c r="K1013" s="40"/>
      <c r="L1013" s="40"/>
      <c r="M1013" s="40"/>
      <c r="N1013" s="40"/>
      <c r="O1013" s="40"/>
      <c r="P1013" s="40"/>
      <c r="Q1013" s="40"/>
      <c r="R1013" s="40"/>
      <c r="S1013" s="40"/>
      <c r="T1013" s="40"/>
      <c r="U1013" s="40"/>
      <c r="V1013" s="40"/>
      <c r="W1013" s="40"/>
      <c r="X1013" s="40"/>
      <c r="Y1013" s="40"/>
      <c r="Z1013" s="40"/>
      <c r="AA1013" s="40"/>
      <c r="AB1013" s="40"/>
    </row>
    <row r="1014">
      <c r="A1014" s="40"/>
      <c r="B1014" s="40"/>
      <c r="C1014" s="40"/>
      <c r="D1014" s="40"/>
      <c r="E1014" s="40"/>
      <c r="F1014" s="40"/>
      <c r="G1014" s="40"/>
      <c r="H1014" s="40"/>
      <c r="I1014" s="40"/>
      <c r="J1014" s="40"/>
      <c r="K1014" s="40"/>
      <c r="L1014" s="40"/>
      <c r="M1014" s="40"/>
      <c r="N1014" s="40"/>
      <c r="O1014" s="40"/>
      <c r="P1014" s="40"/>
      <c r="Q1014" s="40"/>
      <c r="R1014" s="40"/>
      <c r="S1014" s="40"/>
      <c r="T1014" s="40"/>
      <c r="U1014" s="40"/>
      <c r="V1014" s="40"/>
      <c r="W1014" s="40"/>
      <c r="X1014" s="40"/>
      <c r="Y1014" s="40"/>
      <c r="Z1014" s="40"/>
      <c r="AA1014" s="40"/>
      <c r="AB1014" s="40"/>
    </row>
    <row r="1015">
      <c r="A1015" s="40"/>
      <c r="B1015" s="40"/>
      <c r="C1015" s="40"/>
      <c r="D1015" s="40"/>
      <c r="E1015" s="40"/>
      <c r="F1015" s="40"/>
      <c r="G1015" s="40"/>
      <c r="H1015" s="40"/>
      <c r="I1015" s="40"/>
      <c r="J1015" s="40"/>
      <c r="K1015" s="40"/>
      <c r="L1015" s="40"/>
      <c r="M1015" s="40"/>
      <c r="N1015" s="40"/>
      <c r="O1015" s="40"/>
      <c r="P1015" s="40"/>
      <c r="Q1015" s="40"/>
      <c r="R1015" s="40"/>
      <c r="S1015" s="40"/>
      <c r="T1015" s="40"/>
      <c r="U1015" s="40"/>
      <c r="V1015" s="40"/>
      <c r="W1015" s="40"/>
      <c r="X1015" s="40"/>
      <c r="Y1015" s="40"/>
      <c r="Z1015" s="40"/>
      <c r="AA1015" s="40"/>
      <c r="AB1015" s="40"/>
    </row>
    <row r="1016">
      <c r="A1016" s="40"/>
      <c r="B1016" s="40"/>
      <c r="C1016" s="40"/>
      <c r="D1016" s="40"/>
      <c r="E1016" s="40"/>
      <c r="F1016" s="40"/>
      <c r="G1016" s="40"/>
      <c r="H1016" s="40"/>
      <c r="I1016" s="40"/>
      <c r="J1016" s="40"/>
      <c r="K1016" s="40"/>
      <c r="L1016" s="40"/>
      <c r="M1016" s="40"/>
      <c r="N1016" s="40"/>
      <c r="O1016" s="40"/>
      <c r="P1016" s="40"/>
      <c r="Q1016" s="40"/>
      <c r="R1016" s="40"/>
      <c r="S1016" s="40"/>
      <c r="T1016" s="40"/>
      <c r="U1016" s="40"/>
      <c r="V1016" s="40"/>
      <c r="W1016" s="40"/>
      <c r="X1016" s="40"/>
      <c r="Y1016" s="40"/>
      <c r="Z1016" s="40"/>
      <c r="AA1016" s="40"/>
      <c r="AB1016" s="40"/>
    </row>
    <row r="1017">
      <c r="A1017" s="40"/>
      <c r="B1017" s="40"/>
      <c r="C1017" s="40"/>
      <c r="D1017" s="40"/>
      <c r="E1017" s="40"/>
      <c r="F1017" s="40"/>
      <c r="G1017" s="40"/>
      <c r="H1017" s="40"/>
      <c r="I1017" s="40"/>
      <c r="J1017" s="40"/>
      <c r="K1017" s="40"/>
      <c r="L1017" s="40"/>
      <c r="M1017" s="40"/>
      <c r="N1017" s="40"/>
      <c r="O1017" s="40"/>
      <c r="P1017" s="40"/>
      <c r="Q1017" s="40"/>
      <c r="R1017" s="40"/>
      <c r="S1017" s="40"/>
      <c r="T1017" s="40"/>
      <c r="U1017" s="40"/>
      <c r="V1017" s="40"/>
      <c r="W1017" s="40"/>
      <c r="X1017" s="40"/>
      <c r="Y1017" s="40"/>
      <c r="Z1017" s="40"/>
      <c r="AA1017" s="40"/>
      <c r="AB1017" s="40"/>
    </row>
    <row r="1018">
      <c r="A1018" s="40"/>
      <c r="B1018" s="40"/>
      <c r="C1018" s="40"/>
      <c r="D1018" s="40"/>
      <c r="E1018" s="40"/>
      <c r="F1018" s="40"/>
      <c r="G1018" s="40"/>
      <c r="H1018" s="40"/>
      <c r="I1018" s="40"/>
      <c r="J1018" s="40"/>
      <c r="K1018" s="40"/>
      <c r="L1018" s="40"/>
      <c r="M1018" s="40"/>
      <c r="N1018" s="40"/>
      <c r="O1018" s="40"/>
      <c r="P1018" s="40"/>
      <c r="Q1018" s="40"/>
      <c r="R1018" s="40"/>
      <c r="S1018" s="40"/>
      <c r="T1018" s="40"/>
      <c r="U1018" s="40"/>
      <c r="V1018" s="40"/>
      <c r="W1018" s="40"/>
      <c r="X1018" s="40"/>
      <c r="Y1018" s="40"/>
      <c r="Z1018" s="40"/>
      <c r="AA1018" s="40"/>
      <c r="AB1018" s="40"/>
    </row>
    <row r="1019">
      <c r="A1019" s="40"/>
      <c r="B1019" s="40"/>
      <c r="C1019" s="40"/>
      <c r="D1019" s="40"/>
      <c r="E1019" s="40"/>
      <c r="F1019" s="40"/>
      <c r="G1019" s="40"/>
      <c r="H1019" s="40"/>
      <c r="I1019" s="40"/>
      <c r="J1019" s="40"/>
      <c r="K1019" s="40"/>
      <c r="L1019" s="40"/>
      <c r="M1019" s="40"/>
      <c r="N1019" s="40"/>
      <c r="O1019" s="40"/>
      <c r="P1019" s="40"/>
      <c r="Q1019" s="40"/>
      <c r="R1019" s="40"/>
      <c r="S1019" s="40"/>
      <c r="T1019" s="40"/>
      <c r="U1019" s="40"/>
      <c r="V1019" s="40"/>
      <c r="W1019" s="40"/>
      <c r="X1019" s="40"/>
      <c r="Y1019" s="40"/>
      <c r="Z1019" s="40"/>
      <c r="AA1019" s="40"/>
      <c r="AB1019" s="40"/>
    </row>
    <row r="1020">
      <c r="A1020" s="40"/>
      <c r="B1020" s="40"/>
      <c r="C1020" s="40"/>
      <c r="D1020" s="40"/>
      <c r="E1020" s="40"/>
      <c r="F1020" s="40"/>
      <c r="G1020" s="40"/>
      <c r="H1020" s="40"/>
      <c r="I1020" s="40"/>
      <c r="J1020" s="40"/>
      <c r="K1020" s="40"/>
      <c r="L1020" s="40"/>
      <c r="M1020" s="40"/>
      <c r="N1020" s="40"/>
      <c r="O1020" s="40"/>
      <c r="P1020" s="40"/>
      <c r="Q1020" s="40"/>
      <c r="R1020" s="40"/>
      <c r="S1020" s="40"/>
      <c r="T1020" s="40"/>
      <c r="U1020" s="40"/>
      <c r="V1020" s="40"/>
      <c r="W1020" s="40"/>
      <c r="X1020" s="40"/>
      <c r="Y1020" s="40"/>
      <c r="Z1020" s="40"/>
      <c r="AA1020" s="40"/>
      <c r="AB1020" s="40"/>
    </row>
    <row r="1021">
      <c r="A1021" s="40"/>
      <c r="B1021" s="40"/>
      <c r="C1021" s="40"/>
      <c r="D1021" s="40"/>
      <c r="E1021" s="40"/>
      <c r="F1021" s="40"/>
      <c r="G1021" s="40"/>
      <c r="H1021" s="40"/>
      <c r="I1021" s="40"/>
      <c r="J1021" s="40"/>
      <c r="K1021" s="40"/>
      <c r="L1021" s="40"/>
      <c r="M1021" s="40"/>
      <c r="N1021" s="40"/>
      <c r="O1021" s="40"/>
      <c r="P1021" s="40"/>
      <c r="Q1021" s="40"/>
      <c r="R1021" s="40"/>
      <c r="S1021" s="40"/>
      <c r="T1021" s="40"/>
      <c r="U1021" s="40"/>
      <c r="V1021" s="40"/>
      <c r="W1021" s="40"/>
      <c r="X1021" s="40"/>
      <c r="Y1021" s="40"/>
      <c r="Z1021" s="40"/>
      <c r="AA1021" s="40"/>
      <c r="AB1021" s="40"/>
    </row>
  </sheetData>
  <mergeCells count="5">
    <mergeCell ref="K3:Q21"/>
    <mergeCell ref="K24:Q37"/>
    <mergeCell ref="K41:Q54"/>
    <mergeCell ref="K58:Q71"/>
    <mergeCell ref="K121:Q134"/>
  </mergeCells>
  <conditionalFormatting sqref="B162:I162">
    <cfRule type="cellIs" dxfId="0" priority="1" operator="greaterThanOrEqual">
      <formula>"7%"</formula>
    </cfRule>
  </conditionalFormatting>
  <conditionalFormatting sqref="B162:I162">
    <cfRule type="cellIs" dxfId="1" priority="2" operator="lessThan">
      <formula>"7%"</formula>
    </cfRule>
  </conditionalFormatting>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29.13"/>
    <col customWidth="1" min="2" max="2" width="19.38"/>
    <col customWidth="1" min="3" max="3" width="18.38"/>
    <col customWidth="1" min="4" max="4" width="18.13"/>
    <col customWidth="1" min="5" max="6" width="16.13"/>
    <col customWidth="1" min="7" max="7" width="15.25"/>
    <col customWidth="1" min="8" max="8" width="13.13"/>
    <col customWidth="1" min="9" max="9" width="15.13"/>
  </cols>
  <sheetData>
    <row r="1">
      <c r="A1" s="39" t="s">
        <v>0</v>
      </c>
      <c r="B1" s="39">
        <v>1490.0</v>
      </c>
      <c r="C1" s="40"/>
      <c r="D1" s="40"/>
      <c r="E1" s="40"/>
      <c r="F1" s="41" t="s">
        <v>36</v>
      </c>
      <c r="G1" s="41">
        <v>30.0</v>
      </c>
      <c r="H1" s="41" t="s">
        <v>37</v>
      </c>
      <c r="I1" s="42">
        <f>G1/30</f>
        <v>1</v>
      </c>
      <c r="J1" s="40"/>
      <c r="K1" s="40"/>
      <c r="L1" s="40"/>
      <c r="M1" s="40"/>
      <c r="N1" s="40"/>
      <c r="O1" s="40"/>
      <c r="P1" s="40"/>
      <c r="Q1" s="40"/>
      <c r="R1" s="40"/>
      <c r="S1" s="40"/>
      <c r="T1" s="40"/>
      <c r="U1" s="40"/>
      <c r="V1" s="40"/>
      <c r="W1" s="40"/>
      <c r="X1" s="40"/>
      <c r="Y1" s="40"/>
      <c r="Z1" s="40"/>
      <c r="AA1" s="40"/>
      <c r="AB1" s="40"/>
    </row>
    <row r="2">
      <c r="A2" s="43" t="s">
        <v>1</v>
      </c>
      <c r="B2" s="40"/>
      <c r="C2" s="40"/>
      <c r="D2" s="40"/>
      <c r="E2" s="40"/>
      <c r="F2" s="40"/>
      <c r="G2" s="40"/>
      <c r="H2" s="40"/>
      <c r="I2" s="40"/>
      <c r="J2" s="40"/>
      <c r="K2" s="40"/>
      <c r="L2" s="40"/>
      <c r="M2" s="40"/>
      <c r="N2" s="40"/>
      <c r="O2" s="40"/>
      <c r="P2" s="40"/>
      <c r="Q2" s="40"/>
      <c r="R2" s="40"/>
      <c r="S2" s="40"/>
      <c r="T2" s="40"/>
      <c r="U2" s="40"/>
      <c r="V2" s="40"/>
      <c r="W2" s="40"/>
      <c r="X2" s="40"/>
      <c r="Y2" s="40"/>
      <c r="Z2" s="40"/>
      <c r="AA2" s="40"/>
      <c r="AB2" s="40"/>
    </row>
    <row r="3">
      <c r="A3" s="7" t="s">
        <v>3</v>
      </c>
      <c r="B3" s="44" t="s">
        <v>87</v>
      </c>
      <c r="C3" s="44" t="s">
        <v>88</v>
      </c>
      <c r="D3" s="44" t="s">
        <v>89</v>
      </c>
      <c r="E3" s="44" t="s">
        <v>90</v>
      </c>
      <c r="F3" s="44" t="s">
        <v>91</v>
      </c>
      <c r="G3" s="44" t="s">
        <v>43</v>
      </c>
      <c r="H3" s="45" t="s">
        <v>17</v>
      </c>
      <c r="I3" s="46" t="s">
        <v>44</v>
      </c>
      <c r="J3" s="47" t="s">
        <v>45</v>
      </c>
      <c r="K3" s="48" t="s">
        <v>92</v>
      </c>
      <c r="L3" s="49"/>
      <c r="M3" s="49"/>
      <c r="N3" s="49"/>
      <c r="O3" s="49"/>
      <c r="P3" s="49"/>
      <c r="Q3" s="50"/>
      <c r="R3" s="40"/>
      <c r="S3" s="40"/>
      <c r="T3" s="40"/>
      <c r="U3" s="40"/>
      <c r="V3" s="40"/>
      <c r="W3" s="40"/>
      <c r="X3" s="40"/>
      <c r="Y3" s="40"/>
      <c r="Z3" s="40"/>
      <c r="AA3" s="40"/>
      <c r="AB3" s="40"/>
    </row>
    <row r="4">
      <c r="A4" s="51" t="s">
        <v>19</v>
      </c>
      <c r="B4" s="67">
        <v>1178176.0</v>
      </c>
      <c r="C4" s="67">
        <v>1778840.0</v>
      </c>
      <c r="D4" s="67">
        <v>1614500.0</v>
      </c>
      <c r="E4" s="67">
        <v>1329127.0</v>
      </c>
      <c r="F4" s="67">
        <v>1474508.0</v>
      </c>
      <c r="G4" s="77">
        <f t="shared" ref="G4:G6" si="2">SUM(B4:F4)</f>
        <v>7375151</v>
      </c>
      <c r="H4" s="54">
        <v>8550000.0</v>
      </c>
      <c r="I4" s="55">
        <f t="shared" ref="I4:I6" si="3">G4/H4</f>
        <v>0.8625907602</v>
      </c>
      <c r="J4" s="56">
        <f>$G4/$G$1*30</f>
        <v>7375151</v>
      </c>
      <c r="K4" s="57"/>
      <c r="Q4" s="58"/>
      <c r="R4" s="40"/>
      <c r="S4" s="40"/>
      <c r="T4" s="40"/>
      <c r="U4" s="40"/>
      <c r="V4" s="40"/>
      <c r="W4" s="40"/>
      <c r="X4" s="40"/>
      <c r="Y4" s="40"/>
      <c r="Z4" s="40"/>
      <c r="AA4" s="40"/>
      <c r="AB4" s="40"/>
    </row>
    <row r="5">
      <c r="A5" s="51" t="s">
        <v>20</v>
      </c>
      <c r="B5" s="59">
        <f t="shared" ref="B5:F5" si="1">B4/$B$1</f>
        <v>790.7221477</v>
      </c>
      <c r="C5" s="59">
        <f t="shared" si="1"/>
        <v>1193.852349</v>
      </c>
      <c r="D5" s="59">
        <f t="shared" si="1"/>
        <v>1083.557047</v>
      </c>
      <c r="E5" s="59">
        <f t="shared" si="1"/>
        <v>892.0315436</v>
      </c>
      <c r="F5" s="59">
        <f t="shared" si="1"/>
        <v>989.6026846</v>
      </c>
      <c r="G5" s="60">
        <f t="shared" si="2"/>
        <v>4949.765772</v>
      </c>
      <c r="H5" s="61">
        <f>H4/$B$1</f>
        <v>5738.255034</v>
      </c>
      <c r="I5" s="55">
        <f t="shared" si="3"/>
        <v>0.8625907602</v>
      </c>
      <c r="J5" s="62">
        <f>J4/$B$1</f>
        <v>4949.765772</v>
      </c>
      <c r="K5" s="57"/>
      <c r="Q5" s="58"/>
      <c r="R5" s="40"/>
      <c r="S5" s="40"/>
      <c r="T5" s="40"/>
      <c r="U5" s="40"/>
      <c r="V5" s="40"/>
      <c r="W5" s="40"/>
      <c r="X5" s="40"/>
      <c r="Y5" s="40"/>
      <c r="Z5" s="40"/>
      <c r="AA5" s="40"/>
      <c r="AB5" s="40"/>
    </row>
    <row r="6">
      <c r="A6" s="51" t="s">
        <v>21</v>
      </c>
      <c r="B6" s="63">
        <v>186.0</v>
      </c>
      <c r="C6" s="63">
        <v>618.0</v>
      </c>
      <c r="D6" s="63">
        <v>705.0</v>
      </c>
      <c r="E6" s="63">
        <v>196.0</v>
      </c>
      <c r="F6" s="63">
        <v>558.0</v>
      </c>
      <c r="G6" s="64">
        <f t="shared" si="2"/>
        <v>2263</v>
      </c>
      <c r="H6" s="65">
        <v>1632.0</v>
      </c>
      <c r="I6" s="55">
        <f t="shared" si="3"/>
        <v>1.386642157</v>
      </c>
      <c r="J6" s="66">
        <f>$G6/$G$1*30</f>
        <v>2263</v>
      </c>
      <c r="K6" s="57"/>
      <c r="Q6" s="58"/>
      <c r="R6" s="40"/>
      <c r="S6" s="40"/>
      <c r="T6" s="40"/>
      <c r="U6" s="40"/>
      <c r="V6" s="40"/>
      <c r="W6" s="40"/>
      <c r="X6" s="40"/>
      <c r="Y6" s="40"/>
      <c r="Z6" s="40"/>
      <c r="AA6" s="40"/>
      <c r="AB6" s="40"/>
    </row>
    <row r="7">
      <c r="A7" s="51" t="s">
        <v>22</v>
      </c>
      <c r="B7" s="67">
        <f t="shared" ref="B7:F7" si="4">B4/B6</f>
        <v>6334.27957</v>
      </c>
      <c r="C7" s="90">
        <f t="shared" si="4"/>
        <v>2878.381877</v>
      </c>
      <c r="D7" s="90">
        <f t="shared" si="4"/>
        <v>2290.070922</v>
      </c>
      <c r="E7" s="90">
        <f t="shared" si="4"/>
        <v>6781.260204</v>
      </c>
      <c r="F7" s="90">
        <f t="shared" si="4"/>
        <v>2642.487455</v>
      </c>
      <c r="G7" s="77">
        <f>G4/$G$6</f>
        <v>3259.015024</v>
      </c>
      <c r="H7" s="54">
        <f>H4/H6</f>
        <v>5238.970588</v>
      </c>
      <c r="I7" s="55">
        <f>H7/G7-1</f>
        <v>0.607531892</v>
      </c>
      <c r="J7" s="56">
        <f>J4/J6</f>
        <v>3259.015024</v>
      </c>
      <c r="K7" s="57"/>
      <c r="Q7" s="58"/>
      <c r="R7" s="40"/>
      <c r="S7" s="40"/>
      <c r="T7" s="40"/>
      <c r="U7" s="40"/>
      <c r="V7" s="40"/>
      <c r="W7" s="40"/>
      <c r="X7" s="40"/>
      <c r="Y7" s="40"/>
      <c r="Z7" s="40"/>
      <c r="AA7" s="40"/>
      <c r="AB7" s="40"/>
    </row>
    <row r="8">
      <c r="A8" s="51" t="s">
        <v>23</v>
      </c>
      <c r="B8" s="59">
        <f t="shared" ref="B8:F8" si="5">B7/$B$1</f>
        <v>4.251194342</v>
      </c>
      <c r="C8" s="59">
        <f t="shared" si="5"/>
        <v>1.931799917</v>
      </c>
      <c r="D8" s="59">
        <f t="shared" si="5"/>
        <v>1.53696035</v>
      </c>
      <c r="E8" s="59">
        <f t="shared" si="5"/>
        <v>4.551181345</v>
      </c>
      <c r="F8" s="59">
        <f t="shared" si="5"/>
        <v>1.773481514</v>
      </c>
      <c r="G8" s="60">
        <f t="shared" ref="G8:H8" si="6">G5/G$6</f>
        <v>2.187258406</v>
      </c>
      <c r="H8" s="61">
        <f t="shared" si="6"/>
        <v>3.516087643</v>
      </c>
      <c r="I8" s="55"/>
      <c r="J8" s="66"/>
      <c r="K8" s="57"/>
      <c r="Q8" s="58"/>
      <c r="R8" s="40"/>
      <c r="S8" s="40"/>
      <c r="T8" s="40"/>
      <c r="U8" s="40"/>
      <c r="V8" s="40"/>
      <c r="W8" s="40"/>
      <c r="X8" s="40"/>
      <c r="Y8" s="40"/>
      <c r="Z8" s="40"/>
      <c r="AA8" s="40"/>
      <c r="AB8" s="40"/>
    </row>
    <row r="9">
      <c r="A9" s="51" t="s">
        <v>47</v>
      </c>
      <c r="B9" s="63">
        <v>17.0</v>
      </c>
      <c r="C9" s="63">
        <v>51.0</v>
      </c>
      <c r="D9" s="63">
        <v>38.0</v>
      </c>
      <c r="E9" s="63">
        <v>12.0</v>
      </c>
      <c r="F9" s="63">
        <v>14.0</v>
      </c>
      <c r="G9" s="64">
        <f t="shared" ref="G9:G10" si="7">SUM(B9:F9)</f>
        <v>132</v>
      </c>
      <c r="H9" s="65">
        <v>157.0</v>
      </c>
      <c r="I9" s="55">
        <f>G9/H9</f>
        <v>0.8407643312</v>
      </c>
      <c r="J9" s="66">
        <f>$G9/$G$1*30</f>
        <v>132</v>
      </c>
      <c r="K9" s="57"/>
      <c r="Q9" s="58"/>
      <c r="R9" s="40"/>
      <c r="S9" s="40"/>
      <c r="T9" s="40"/>
      <c r="U9" s="40"/>
      <c r="V9" s="40"/>
      <c r="W9" s="40"/>
      <c r="X9" s="40"/>
      <c r="Y9" s="40"/>
      <c r="Z9" s="40"/>
      <c r="AA9" s="40"/>
      <c r="AB9" s="40"/>
    </row>
    <row r="10">
      <c r="A10" s="51" t="s">
        <v>48</v>
      </c>
      <c r="B10" s="63">
        <v>16.0</v>
      </c>
      <c r="C10" s="63">
        <v>44.0</v>
      </c>
      <c r="D10" s="63">
        <v>19.0</v>
      </c>
      <c r="E10" s="63">
        <v>11.0</v>
      </c>
      <c r="F10" s="63">
        <v>8.0</v>
      </c>
      <c r="G10" s="64">
        <f t="shared" si="7"/>
        <v>98</v>
      </c>
      <c r="H10" s="70"/>
      <c r="I10" s="55"/>
      <c r="J10" s="71"/>
      <c r="K10" s="57"/>
      <c r="Q10" s="58"/>
      <c r="R10" s="40"/>
      <c r="S10" s="40"/>
      <c r="T10" s="40"/>
      <c r="U10" s="40"/>
      <c r="V10" s="40"/>
      <c r="W10" s="40"/>
      <c r="X10" s="40"/>
      <c r="Y10" s="40"/>
      <c r="Z10" s="40"/>
      <c r="AA10" s="40"/>
      <c r="AB10" s="40"/>
    </row>
    <row r="11">
      <c r="A11" s="51" t="s">
        <v>25</v>
      </c>
      <c r="B11" s="90">
        <f t="shared" ref="B11:F11" si="8">B4/B9</f>
        <v>69304.47059</v>
      </c>
      <c r="C11" s="90">
        <f t="shared" si="8"/>
        <v>34879.21569</v>
      </c>
      <c r="D11" s="90">
        <f t="shared" si="8"/>
        <v>42486.84211</v>
      </c>
      <c r="E11" s="90">
        <f t="shared" si="8"/>
        <v>110760.5833</v>
      </c>
      <c r="F11" s="90">
        <f t="shared" si="8"/>
        <v>105322</v>
      </c>
      <c r="G11" s="77">
        <f t="shared" ref="G11:G12" si="10">G4/G$9</f>
        <v>55872.35606</v>
      </c>
      <c r="H11" s="70">
        <f>H4/H9</f>
        <v>54458.59873</v>
      </c>
      <c r="I11" s="55"/>
      <c r="J11" s="71">
        <f>J4/J9</f>
        <v>55872.35606</v>
      </c>
      <c r="K11" s="57"/>
      <c r="Q11" s="58"/>
      <c r="R11" s="40"/>
      <c r="S11" s="40"/>
      <c r="T11" s="40"/>
      <c r="U11" s="40"/>
      <c r="V11" s="40"/>
      <c r="W11" s="40"/>
      <c r="X11" s="40"/>
      <c r="Y11" s="40"/>
      <c r="Z11" s="40"/>
      <c r="AA11" s="40"/>
      <c r="AB11" s="40"/>
    </row>
    <row r="12">
      <c r="A12" s="51" t="s">
        <v>26</v>
      </c>
      <c r="B12" s="59">
        <f t="shared" ref="B12:F12" si="9">B11/$B$1</f>
        <v>46.51306751</v>
      </c>
      <c r="C12" s="59">
        <f t="shared" si="9"/>
        <v>23.40886959</v>
      </c>
      <c r="D12" s="59">
        <f t="shared" si="9"/>
        <v>28.51465913</v>
      </c>
      <c r="E12" s="59">
        <f t="shared" si="9"/>
        <v>74.33596197</v>
      </c>
      <c r="F12" s="59">
        <f t="shared" si="9"/>
        <v>70.68590604</v>
      </c>
      <c r="G12" s="60">
        <f t="shared" si="10"/>
        <v>37.49822554</v>
      </c>
      <c r="H12" s="61">
        <f>H5/H$9</f>
        <v>36.54939512</v>
      </c>
      <c r="I12" s="72"/>
      <c r="J12" s="73"/>
      <c r="K12" s="57"/>
      <c r="Q12" s="58"/>
      <c r="R12" s="40"/>
      <c r="S12" s="40"/>
      <c r="T12" s="40"/>
      <c r="U12" s="40"/>
      <c r="V12" s="40"/>
      <c r="W12" s="40"/>
      <c r="X12" s="40"/>
      <c r="Y12" s="40"/>
      <c r="Z12" s="40"/>
      <c r="AA12" s="40"/>
      <c r="AB12" s="40"/>
    </row>
    <row r="13">
      <c r="A13" s="51" t="s">
        <v>27</v>
      </c>
      <c r="B13" s="74">
        <f t="shared" ref="B13:H13" si="11">B9/B6</f>
        <v>0.09139784946</v>
      </c>
      <c r="C13" s="74">
        <f t="shared" si="11"/>
        <v>0.08252427184</v>
      </c>
      <c r="D13" s="74">
        <f t="shared" si="11"/>
        <v>0.05390070922</v>
      </c>
      <c r="E13" s="74">
        <f t="shared" si="11"/>
        <v>0.0612244898</v>
      </c>
      <c r="F13" s="74">
        <f t="shared" si="11"/>
        <v>0.02508960573</v>
      </c>
      <c r="G13" s="75">
        <f t="shared" si="11"/>
        <v>0.05832965091</v>
      </c>
      <c r="H13" s="76">
        <f t="shared" si="11"/>
        <v>0.09620098039</v>
      </c>
      <c r="I13" s="72"/>
      <c r="J13" s="73">
        <f>J9/J6</f>
        <v>0.05832965091</v>
      </c>
      <c r="K13" s="57"/>
      <c r="Q13" s="58"/>
      <c r="R13" s="40"/>
      <c r="S13" s="40"/>
      <c r="T13" s="40"/>
      <c r="U13" s="40"/>
      <c r="V13" s="40"/>
      <c r="W13" s="40"/>
      <c r="X13" s="40"/>
      <c r="Y13" s="40"/>
      <c r="Z13" s="40"/>
      <c r="AA13" s="40"/>
      <c r="AB13" s="40"/>
    </row>
    <row r="14">
      <c r="A14" s="51" t="s">
        <v>49</v>
      </c>
      <c r="B14" s="63">
        <v>1.0</v>
      </c>
      <c r="C14" s="63">
        <v>4.0</v>
      </c>
      <c r="D14" s="63">
        <v>3.0</v>
      </c>
      <c r="E14" s="63">
        <v>2.0</v>
      </c>
      <c r="F14" s="63">
        <v>1.0</v>
      </c>
      <c r="G14" s="64">
        <f>SUM(B14:F14)</f>
        <v>11</v>
      </c>
      <c r="H14" s="76"/>
      <c r="I14" s="72"/>
      <c r="J14" s="73"/>
      <c r="K14" s="57"/>
      <c r="Q14" s="58"/>
      <c r="R14" s="40"/>
      <c r="S14" s="40"/>
      <c r="T14" s="40"/>
      <c r="U14" s="40"/>
      <c r="V14" s="40"/>
      <c r="W14" s="40"/>
      <c r="X14" s="40"/>
      <c r="Y14" s="40"/>
      <c r="Z14" s="40"/>
      <c r="AA14" s="40"/>
      <c r="AB14" s="40"/>
    </row>
    <row r="15">
      <c r="A15" s="51" t="s">
        <v>50</v>
      </c>
      <c r="B15" s="67">
        <f t="shared" ref="B15:G15" si="12">B4/B14</f>
        <v>1178176</v>
      </c>
      <c r="C15" s="67">
        <f t="shared" si="12"/>
        <v>444710</v>
      </c>
      <c r="D15" s="67">
        <f t="shared" si="12"/>
        <v>538166.6667</v>
      </c>
      <c r="E15" s="67">
        <f t="shared" si="12"/>
        <v>664563.5</v>
      </c>
      <c r="F15" s="67">
        <f t="shared" si="12"/>
        <v>1474508</v>
      </c>
      <c r="G15" s="77">
        <f t="shared" si="12"/>
        <v>670468.2727</v>
      </c>
      <c r="H15" s="76"/>
      <c r="I15" s="72"/>
      <c r="J15" s="73"/>
      <c r="K15" s="57"/>
      <c r="Q15" s="58"/>
      <c r="R15" s="40"/>
      <c r="S15" s="40"/>
      <c r="T15" s="40"/>
      <c r="U15" s="40"/>
      <c r="V15" s="40"/>
      <c r="W15" s="40"/>
      <c r="X15" s="40"/>
      <c r="Y15" s="40"/>
      <c r="Z15" s="40"/>
      <c r="AA15" s="40"/>
      <c r="AB15" s="40"/>
    </row>
    <row r="16">
      <c r="A16" s="51" t="s">
        <v>51</v>
      </c>
      <c r="B16" s="59">
        <f t="shared" ref="B16:G16" si="13">B15/$B$1</f>
        <v>790.7221477</v>
      </c>
      <c r="C16" s="59">
        <f t="shared" si="13"/>
        <v>298.4630872</v>
      </c>
      <c r="D16" s="59">
        <f t="shared" si="13"/>
        <v>361.1856823</v>
      </c>
      <c r="E16" s="59">
        <f t="shared" si="13"/>
        <v>446.0157718</v>
      </c>
      <c r="F16" s="59">
        <f t="shared" si="13"/>
        <v>989.6026846</v>
      </c>
      <c r="G16" s="60">
        <f t="shared" si="13"/>
        <v>449.9787065</v>
      </c>
      <c r="H16" s="76"/>
      <c r="I16" s="72"/>
      <c r="J16" s="73"/>
      <c r="K16" s="57"/>
      <c r="Q16" s="58"/>
      <c r="R16" s="40"/>
      <c r="S16" s="40"/>
      <c r="T16" s="40"/>
      <c r="U16" s="40"/>
      <c r="V16" s="40"/>
      <c r="W16" s="40"/>
      <c r="X16" s="40"/>
      <c r="Y16" s="40"/>
      <c r="Z16" s="40"/>
      <c r="AA16" s="40"/>
      <c r="AB16" s="40"/>
    </row>
    <row r="17">
      <c r="A17" s="51" t="s">
        <v>52</v>
      </c>
      <c r="B17" s="74">
        <f t="shared" ref="B17:G17" si="14">B14/B6</f>
        <v>0.005376344086</v>
      </c>
      <c r="C17" s="74">
        <f t="shared" si="14"/>
        <v>0.006472491909</v>
      </c>
      <c r="D17" s="74">
        <f t="shared" si="14"/>
        <v>0.004255319149</v>
      </c>
      <c r="E17" s="74">
        <f t="shared" si="14"/>
        <v>0.01020408163</v>
      </c>
      <c r="F17" s="74">
        <f t="shared" si="14"/>
        <v>0.001792114695</v>
      </c>
      <c r="G17" s="75">
        <f t="shared" si="14"/>
        <v>0.004860804242</v>
      </c>
      <c r="H17" s="76"/>
      <c r="I17" s="72"/>
      <c r="J17" s="73"/>
      <c r="K17" s="57"/>
      <c r="Q17" s="58"/>
      <c r="R17" s="40"/>
      <c r="S17" s="40"/>
      <c r="T17" s="40"/>
      <c r="U17" s="40"/>
      <c r="V17" s="40"/>
      <c r="W17" s="40"/>
      <c r="X17" s="40"/>
      <c r="Y17" s="40"/>
      <c r="Z17" s="40"/>
      <c r="AA17" s="40"/>
      <c r="AB17" s="40"/>
    </row>
    <row r="18">
      <c r="A18" s="51" t="s">
        <v>28</v>
      </c>
      <c r="B18" s="63"/>
      <c r="C18" s="63"/>
      <c r="D18" s="63"/>
      <c r="E18" s="63"/>
      <c r="F18" s="63"/>
      <c r="G18" s="64">
        <f>SUM(B18:F18)</f>
        <v>0</v>
      </c>
      <c r="H18" s="78"/>
      <c r="I18" s="72"/>
      <c r="J18" s="79">
        <f>$G18/$G$1*30</f>
        <v>0</v>
      </c>
      <c r="K18" s="57"/>
      <c r="Q18" s="58"/>
      <c r="R18" s="40"/>
      <c r="S18" s="40"/>
      <c r="T18" s="40"/>
      <c r="U18" s="40"/>
      <c r="V18" s="40"/>
      <c r="W18" s="40"/>
      <c r="X18" s="40"/>
      <c r="Y18" s="40"/>
      <c r="Z18" s="40"/>
      <c r="AA18" s="40"/>
      <c r="AB18" s="40"/>
    </row>
    <row r="19">
      <c r="A19" s="51" t="s">
        <v>53</v>
      </c>
      <c r="B19" s="69" t="str">
        <f>B5/B18</f>
        <v>#DIV/0!</v>
      </c>
      <c r="C19" s="69" t="str">
        <f t="shared" ref="C19:F19" si="15">C4/C18</f>
        <v>#DIV/0!</v>
      </c>
      <c r="D19" s="69" t="str">
        <f t="shared" si="15"/>
        <v>#DIV/0!</v>
      </c>
      <c r="E19" s="69" t="str">
        <f t="shared" si="15"/>
        <v>#DIV/0!</v>
      </c>
      <c r="F19" s="69" t="str">
        <f t="shared" si="15"/>
        <v>#DIV/0!</v>
      </c>
      <c r="G19" s="64" t="str">
        <f t="shared" ref="G19:G20" si="17">G4/G$18</f>
        <v>#DIV/0!</v>
      </c>
      <c r="H19" s="78"/>
      <c r="I19" s="72"/>
      <c r="J19" s="93" t="str">
        <f>J4/J18</f>
        <v>#DIV/0!</v>
      </c>
      <c r="K19" s="57"/>
      <c r="Q19" s="58"/>
      <c r="R19" s="40"/>
      <c r="S19" s="40"/>
      <c r="T19" s="40"/>
      <c r="U19" s="40"/>
      <c r="V19" s="40"/>
      <c r="W19" s="40"/>
      <c r="X19" s="40"/>
      <c r="Y19" s="40"/>
      <c r="Z19" s="40"/>
      <c r="AA19" s="40"/>
      <c r="AB19" s="40"/>
    </row>
    <row r="20">
      <c r="A20" s="51" t="s">
        <v>30</v>
      </c>
      <c r="B20" s="59" t="str">
        <f t="shared" ref="B20:F20" si="16">B19/$B$1</f>
        <v>#DIV/0!</v>
      </c>
      <c r="C20" s="59" t="str">
        <f t="shared" si="16"/>
        <v>#DIV/0!</v>
      </c>
      <c r="D20" s="59" t="str">
        <f t="shared" si="16"/>
        <v>#DIV/0!</v>
      </c>
      <c r="E20" s="59" t="str">
        <f t="shared" si="16"/>
        <v>#DIV/0!</v>
      </c>
      <c r="F20" s="59" t="str">
        <f t="shared" si="16"/>
        <v>#DIV/0!</v>
      </c>
      <c r="G20" s="64" t="str">
        <f t="shared" si="17"/>
        <v>#DIV/0!</v>
      </c>
      <c r="H20" s="78"/>
      <c r="I20" s="72"/>
      <c r="J20" s="80"/>
      <c r="K20" s="57"/>
      <c r="Q20" s="58"/>
      <c r="R20" s="40"/>
      <c r="S20" s="40"/>
      <c r="T20" s="40"/>
      <c r="U20" s="40"/>
      <c r="V20" s="40"/>
      <c r="W20" s="40"/>
      <c r="X20" s="40"/>
      <c r="Y20" s="40"/>
      <c r="Z20" s="40"/>
      <c r="AA20" s="40"/>
      <c r="AB20" s="40"/>
    </row>
    <row r="21">
      <c r="A21" s="51" t="s">
        <v>32</v>
      </c>
      <c r="B21" s="74">
        <f t="shared" ref="B21:G21" si="18">B18/B6</f>
        <v>0</v>
      </c>
      <c r="C21" s="74">
        <f t="shared" si="18"/>
        <v>0</v>
      </c>
      <c r="D21" s="74">
        <f t="shared" si="18"/>
        <v>0</v>
      </c>
      <c r="E21" s="74">
        <f t="shared" si="18"/>
        <v>0</v>
      </c>
      <c r="F21" s="74">
        <f t="shared" si="18"/>
        <v>0</v>
      </c>
      <c r="G21" s="75">
        <f t="shared" si="18"/>
        <v>0</v>
      </c>
      <c r="H21" s="78"/>
      <c r="I21" s="72"/>
      <c r="J21" s="80">
        <f>J18/J6</f>
        <v>0</v>
      </c>
      <c r="K21" s="81"/>
      <c r="L21" s="82"/>
      <c r="M21" s="82"/>
      <c r="N21" s="82"/>
      <c r="O21" s="82"/>
      <c r="P21" s="82"/>
      <c r="Q21" s="83"/>
      <c r="R21" s="40"/>
      <c r="S21" s="40"/>
      <c r="T21" s="40"/>
      <c r="U21" s="40"/>
      <c r="V21" s="40"/>
      <c r="W21" s="40"/>
      <c r="X21" s="40"/>
      <c r="Y21" s="40"/>
      <c r="Z21" s="40"/>
      <c r="AA21" s="40"/>
      <c r="AB21" s="40"/>
    </row>
    <row r="22">
      <c r="A22" s="40"/>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row>
    <row r="23">
      <c r="A23" s="84" t="s">
        <v>54</v>
      </c>
      <c r="B23" s="40"/>
      <c r="C23" s="40"/>
      <c r="D23" s="40"/>
      <c r="E23" s="40"/>
      <c r="F23" s="40"/>
      <c r="G23" s="40"/>
      <c r="H23" s="40"/>
      <c r="I23" s="40"/>
      <c r="J23" s="40"/>
      <c r="K23" s="40"/>
      <c r="L23" s="40"/>
      <c r="M23" s="40"/>
      <c r="N23" s="40"/>
      <c r="O23" s="40"/>
      <c r="P23" s="40"/>
      <c r="Q23" s="40"/>
      <c r="R23" s="40"/>
      <c r="S23" s="40"/>
      <c r="T23" s="40"/>
      <c r="U23" s="40"/>
      <c r="V23" s="40"/>
      <c r="W23" s="40"/>
      <c r="X23" s="40"/>
      <c r="Y23" s="40"/>
      <c r="Z23" s="40"/>
      <c r="AA23" s="40"/>
      <c r="AB23" s="40"/>
    </row>
    <row r="24">
      <c r="A24" s="7" t="s">
        <v>3</v>
      </c>
      <c r="B24" s="44" t="str">
        <f t="shared" ref="B24:F24" si="19">B3</f>
        <v>01/11 al 04/11</v>
      </c>
      <c r="C24" s="44" t="str">
        <f t="shared" si="19"/>
        <v>05/11 al 11/11</v>
      </c>
      <c r="D24" s="44" t="str">
        <f t="shared" si="19"/>
        <v>12/11 al 18/11</v>
      </c>
      <c r="E24" s="44" t="str">
        <f t="shared" si="19"/>
        <v>19/11 al 25/11</v>
      </c>
      <c r="F24" s="44" t="str">
        <f t="shared" si="19"/>
        <v>26/11 al 30/11</v>
      </c>
      <c r="G24" s="44" t="s">
        <v>43</v>
      </c>
      <c r="H24" s="45" t="s">
        <v>17</v>
      </c>
      <c r="I24" s="47" t="s">
        <v>45</v>
      </c>
      <c r="J24" s="40"/>
      <c r="K24" s="48"/>
      <c r="L24" s="49"/>
      <c r="M24" s="49"/>
      <c r="N24" s="49"/>
      <c r="O24" s="49"/>
      <c r="P24" s="49"/>
      <c r="Q24" s="50"/>
      <c r="R24" s="40"/>
      <c r="S24" s="40"/>
      <c r="T24" s="40"/>
      <c r="U24" s="40"/>
      <c r="V24" s="40"/>
      <c r="W24" s="40"/>
      <c r="X24" s="40"/>
      <c r="Y24" s="40"/>
      <c r="Z24" s="40"/>
      <c r="AA24" s="40"/>
      <c r="AB24" s="40"/>
    </row>
    <row r="25">
      <c r="A25" s="51" t="s">
        <v>19</v>
      </c>
      <c r="B25" s="67">
        <v>247566.0</v>
      </c>
      <c r="C25" s="67">
        <v>419701.0</v>
      </c>
      <c r="D25" s="67">
        <v>415519.0</v>
      </c>
      <c r="E25" s="67">
        <v>282777.0</v>
      </c>
      <c r="F25" s="67">
        <f>252254+53672</f>
        <v>305926</v>
      </c>
      <c r="G25" s="77">
        <f t="shared" ref="G25:G27" si="21">SUM(B25:F25)</f>
        <v>1671489</v>
      </c>
      <c r="H25" s="85">
        <f>B169</f>
        <v>1800000</v>
      </c>
      <c r="I25" s="56">
        <f>$G25/$G$1*30</f>
        <v>1671489</v>
      </c>
      <c r="J25" s="86">
        <f>(H25-G25)/15</f>
        <v>8567.4</v>
      </c>
      <c r="K25" s="57"/>
      <c r="Q25" s="58"/>
      <c r="R25" s="40"/>
      <c r="S25" s="40"/>
      <c r="T25" s="40"/>
      <c r="U25" s="40"/>
      <c r="V25" s="40"/>
      <c r="W25" s="40"/>
      <c r="X25" s="40"/>
      <c r="Y25" s="40"/>
      <c r="Z25" s="40"/>
      <c r="AA25" s="40"/>
      <c r="AB25" s="40"/>
    </row>
    <row r="26">
      <c r="A26" s="51" t="s">
        <v>20</v>
      </c>
      <c r="B26" s="59">
        <f t="shared" ref="B26:F26" si="20">B25/$B$1</f>
        <v>166.1516779</v>
      </c>
      <c r="C26" s="59">
        <f t="shared" si="20"/>
        <v>281.6785235</v>
      </c>
      <c r="D26" s="59">
        <f t="shared" si="20"/>
        <v>278.8718121</v>
      </c>
      <c r="E26" s="59">
        <f t="shared" si="20"/>
        <v>189.7832215</v>
      </c>
      <c r="F26" s="59">
        <f t="shared" si="20"/>
        <v>205.3194631</v>
      </c>
      <c r="G26" s="60">
        <f t="shared" si="21"/>
        <v>1121.804698</v>
      </c>
      <c r="H26" s="87">
        <f t="shared" ref="H26:I26" si="22">H25/$B$1</f>
        <v>1208.053691</v>
      </c>
      <c r="I26" s="88">
        <f t="shared" si="22"/>
        <v>1121.804698</v>
      </c>
      <c r="J26" s="40"/>
      <c r="K26" s="57"/>
      <c r="Q26" s="58"/>
      <c r="R26" s="40"/>
      <c r="S26" s="40"/>
      <c r="T26" s="40"/>
      <c r="U26" s="40"/>
      <c r="V26" s="40"/>
      <c r="W26" s="40"/>
      <c r="X26" s="40"/>
      <c r="Y26" s="40"/>
      <c r="Z26" s="40"/>
      <c r="AA26" s="40"/>
      <c r="AB26" s="40"/>
    </row>
    <row r="27">
      <c r="A27" s="51" t="s">
        <v>21</v>
      </c>
      <c r="B27" s="63">
        <v>24.0</v>
      </c>
      <c r="C27" s="63">
        <v>52.0</v>
      </c>
      <c r="D27" s="63">
        <v>56.0</v>
      </c>
      <c r="E27" s="63">
        <v>19.0</v>
      </c>
      <c r="F27" s="63">
        <v>43.0</v>
      </c>
      <c r="G27" s="64">
        <f t="shared" si="21"/>
        <v>194</v>
      </c>
      <c r="H27" s="65">
        <f>B172</f>
        <v>257.1428571</v>
      </c>
      <c r="I27" s="66">
        <f>$G27/$G$1*30</f>
        <v>194</v>
      </c>
      <c r="J27" s="40"/>
      <c r="K27" s="57"/>
      <c r="Q27" s="58"/>
      <c r="R27" s="40"/>
      <c r="S27" s="40"/>
      <c r="T27" s="40"/>
      <c r="U27" s="40"/>
      <c r="V27" s="40"/>
      <c r="W27" s="40"/>
      <c r="X27" s="40"/>
      <c r="Y27" s="40"/>
      <c r="Z27" s="40"/>
      <c r="AA27" s="40"/>
      <c r="AB27" s="40"/>
    </row>
    <row r="28">
      <c r="A28" s="51" t="s">
        <v>22</v>
      </c>
      <c r="B28" s="90">
        <f t="shared" ref="B28:F28" si="23">B25/B27</f>
        <v>10315.25</v>
      </c>
      <c r="C28" s="90">
        <f t="shared" si="23"/>
        <v>8071.173077</v>
      </c>
      <c r="D28" s="90">
        <f t="shared" si="23"/>
        <v>7419.982143</v>
      </c>
      <c r="E28" s="90">
        <f t="shared" si="23"/>
        <v>14883</v>
      </c>
      <c r="F28" s="90">
        <f t="shared" si="23"/>
        <v>7114.55814</v>
      </c>
      <c r="G28" s="77">
        <f t="shared" ref="G28:G29" si="26">G25/G$27</f>
        <v>8615.92268</v>
      </c>
      <c r="H28" s="91">
        <f t="shared" ref="H28:I28" si="24">H25/H27</f>
        <v>7000</v>
      </c>
      <c r="I28" s="56">
        <f t="shared" si="24"/>
        <v>8615.92268</v>
      </c>
      <c r="J28" s="40"/>
      <c r="K28" s="57"/>
      <c r="Q28" s="58"/>
      <c r="R28" s="40"/>
      <c r="S28" s="40"/>
      <c r="T28" s="40"/>
      <c r="U28" s="40"/>
      <c r="V28" s="40"/>
      <c r="W28" s="40"/>
      <c r="X28" s="40"/>
      <c r="Y28" s="40"/>
      <c r="Z28" s="40"/>
      <c r="AA28" s="40"/>
      <c r="AB28" s="40"/>
    </row>
    <row r="29">
      <c r="A29" s="51" t="s">
        <v>23</v>
      </c>
      <c r="B29" s="59">
        <f t="shared" ref="B29:F29" si="25">B28/$B$1</f>
        <v>6.922986577</v>
      </c>
      <c r="C29" s="59">
        <f t="shared" si="25"/>
        <v>5.416894682</v>
      </c>
      <c r="D29" s="59">
        <f t="shared" si="25"/>
        <v>4.979853787</v>
      </c>
      <c r="E29" s="59">
        <f t="shared" si="25"/>
        <v>9.988590604</v>
      </c>
      <c r="F29" s="59">
        <f t="shared" si="25"/>
        <v>4.774871235</v>
      </c>
      <c r="G29" s="60">
        <f t="shared" si="26"/>
        <v>5.782498443</v>
      </c>
      <c r="H29" s="87">
        <f t="shared" ref="H29:I29" si="27">H28/$B$1</f>
        <v>4.697986577</v>
      </c>
      <c r="I29" s="88">
        <f t="shared" si="27"/>
        <v>5.782498443</v>
      </c>
      <c r="J29" s="40"/>
      <c r="K29" s="57"/>
      <c r="Q29" s="58"/>
      <c r="R29" s="40"/>
      <c r="S29" s="40"/>
      <c r="T29" s="40"/>
      <c r="U29" s="40"/>
      <c r="V29" s="40"/>
      <c r="W29" s="40"/>
      <c r="X29" s="40"/>
      <c r="Y29" s="40"/>
      <c r="Z29" s="40"/>
      <c r="AA29" s="40"/>
      <c r="AB29" s="40"/>
    </row>
    <row r="30">
      <c r="A30" s="51" t="s">
        <v>24</v>
      </c>
      <c r="B30" s="63">
        <v>5.0</v>
      </c>
      <c r="C30" s="63">
        <v>7.0</v>
      </c>
      <c r="D30" s="63">
        <v>3.0</v>
      </c>
      <c r="E30" s="63">
        <v>1.0</v>
      </c>
      <c r="F30" s="63">
        <v>1.0</v>
      </c>
      <c r="G30" s="64">
        <f>SUM(B30:F30)</f>
        <v>17</v>
      </c>
      <c r="H30" s="65">
        <f>B174</f>
        <v>33.42857143</v>
      </c>
      <c r="I30" s="66">
        <f>$G30/$G$1*30</f>
        <v>17</v>
      </c>
      <c r="J30" s="40"/>
      <c r="K30" s="57"/>
      <c r="Q30" s="58"/>
      <c r="R30" s="40"/>
      <c r="S30" s="40"/>
      <c r="T30" s="40"/>
      <c r="U30" s="40"/>
      <c r="V30" s="40"/>
      <c r="W30" s="40"/>
      <c r="X30" s="40"/>
      <c r="Y30" s="40"/>
      <c r="Z30" s="40"/>
      <c r="AA30" s="40"/>
      <c r="AB30" s="40"/>
    </row>
    <row r="31">
      <c r="A31" s="51" t="s">
        <v>25</v>
      </c>
      <c r="B31" s="90">
        <f t="shared" ref="B31:F31" si="28">B25/B30</f>
        <v>49513.2</v>
      </c>
      <c r="C31" s="90">
        <f t="shared" si="28"/>
        <v>59957.28571</v>
      </c>
      <c r="D31" s="90">
        <f t="shared" si="28"/>
        <v>138506.3333</v>
      </c>
      <c r="E31" s="90">
        <f t="shared" si="28"/>
        <v>282777</v>
      </c>
      <c r="F31" s="90">
        <f t="shared" si="28"/>
        <v>305926</v>
      </c>
      <c r="G31" s="77">
        <f t="shared" ref="G31:G32" si="31">G25/G$30</f>
        <v>98322.88235</v>
      </c>
      <c r="H31" s="91">
        <f t="shared" ref="H31:I31" si="29">H25/H30</f>
        <v>53846.15385</v>
      </c>
      <c r="I31" s="71">
        <f t="shared" si="29"/>
        <v>98322.88235</v>
      </c>
      <c r="J31" s="40"/>
      <c r="K31" s="57"/>
      <c r="Q31" s="58"/>
      <c r="R31" s="40"/>
      <c r="S31" s="40"/>
      <c r="T31" s="40"/>
      <c r="U31" s="40"/>
      <c r="V31" s="40"/>
      <c r="W31" s="40"/>
      <c r="X31" s="40"/>
      <c r="Y31" s="40"/>
      <c r="Z31" s="40"/>
      <c r="AA31" s="40"/>
      <c r="AB31" s="40"/>
    </row>
    <row r="32">
      <c r="A32" s="51" t="s">
        <v>26</v>
      </c>
      <c r="B32" s="59">
        <f t="shared" ref="B32:F32" si="30">B31/$B$1</f>
        <v>33.23033557</v>
      </c>
      <c r="C32" s="59">
        <f t="shared" si="30"/>
        <v>40.23978907</v>
      </c>
      <c r="D32" s="59">
        <f t="shared" si="30"/>
        <v>92.95727069</v>
      </c>
      <c r="E32" s="59">
        <f t="shared" si="30"/>
        <v>189.7832215</v>
      </c>
      <c r="F32" s="59">
        <f t="shared" si="30"/>
        <v>205.3194631</v>
      </c>
      <c r="G32" s="60">
        <f t="shared" si="31"/>
        <v>65.98851165</v>
      </c>
      <c r="H32" s="87">
        <f t="shared" ref="H32:I32" si="32">H31/$B$1</f>
        <v>36.13835829</v>
      </c>
      <c r="I32" s="88">
        <f t="shared" si="32"/>
        <v>65.98851165</v>
      </c>
      <c r="J32" s="40"/>
      <c r="K32" s="57"/>
      <c r="Q32" s="58"/>
      <c r="R32" s="40"/>
      <c r="S32" s="40"/>
      <c r="T32" s="40"/>
      <c r="U32" s="40"/>
      <c r="V32" s="40"/>
      <c r="W32" s="40"/>
      <c r="X32" s="40"/>
      <c r="Y32" s="40"/>
      <c r="Z32" s="40"/>
      <c r="AA32" s="40"/>
      <c r="AB32" s="40"/>
    </row>
    <row r="33">
      <c r="A33" s="51" t="s">
        <v>27</v>
      </c>
      <c r="B33" s="74">
        <f t="shared" ref="B33:I33" si="33">B30/B27</f>
        <v>0.2083333333</v>
      </c>
      <c r="C33" s="74">
        <f t="shared" si="33"/>
        <v>0.1346153846</v>
      </c>
      <c r="D33" s="74">
        <f t="shared" si="33"/>
        <v>0.05357142857</v>
      </c>
      <c r="E33" s="74">
        <f t="shared" si="33"/>
        <v>0.05263157895</v>
      </c>
      <c r="F33" s="74">
        <f t="shared" si="33"/>
        <v>0.02325581395</v>
      </c>
      <c r="G33" s="75">
        <f t="shared" si="33"/>
        <v>0.08762886598</v>
      </c>
      <c r="H33" s="92">
        <f t="shared" si="33"/>
        <v>0.13</v>
      </c>
      <c r="I33" s="73">
        <f t="shared" si="33"/>
        <v>0.08762886598</v>
      </c>
      <c r="J33" s="40"/>
      <c r="K33" s="57"/>
      <c r="Q33" s="58"/>
      <c r="R33" s="40"/>
      <c r="S33" s="40"/>
      <c r="T33" s="40"/>
      <c r="U33" s="40"/>
      <c r="V33" s="40"/>
      <c r="W33" s="40"/>
      <c r="X33" s="40"/>
      <c r="Y33" s="40"/>
      <c r="Z33" s="40"/>
      <c r="AA33" s="40"/>
      <c r="AB33" s="40"/>
    </row>
    <row r="34">
      <c r="A34" s="51" t="s">
        <v>28</v>
      </c>
      <c r="B34" s="63"/>
      <c r="C34" s="63"/>
      <c r="D34" s="63"/>
      <c r="E34" s="69"/>
      <c r="F34" s="69"/>
      <c r="G34" s="64">
        <f>SUM(B34:D34)</f>
        <v>0</v>
      </c>
      <c r="H34" s="78"/>
      <c r="I34" s="79">
        <f>$G34/$G$1*30</f>
        <v>0</v>
      </c>
      <c r="J34" s="40"/>
      <c r="K34" s="57"/>
      <c r="Q34" s="58"/>
      <c r="R34" s="40"/>
      <c r="S34" s="40"/>
      <c r="T34" s="40"/>
      <c r="U34" s="40"/>
      <c r="V34" s="40"/>
      <c r="W34" s="40"/>
      <c r="X34" s="40"/>
      <c r="Y34" s="40"/>
      <c r="Z34" s="40"/>
      <c r="AA34" s="40"/>
      <c r="AB34" s="40"/>
    </row>
    <row r="35">
      <c r="A35" s="51" t="s">
        <v>29</v>
      </c>
      <c r="B35" s="69"/>
      <c r="C35" s="69"/>
      <c r="D35" s="69"/>
      <c r="E35" s="69"/>
      <c r="F35" s="69"/>
      <c r="G35" s="64"/>
      <c r="H35" s="78"/>
      <c r="I35" s="93" t="str">
        <f>I25/I34</f>
        <v>#DIV/0!</v>
      </c>
      <c r="J35" s="40"/>
      <c r="K35" s="57"/>
      <c r="Q35" s="58"/>
      <c r="R35" s="40"/>
      <c r="S35" s="40"/>
      <c r="T35" s="40"/>
      <c r="U35" s="40"/>
      <c r="V35" s="40"/>
      <c r="W35" s="40"/>
      <c r="X35" s="40"/>
      <c r="Y35" s="40"/>
      <c r="Z35" s="40"/>
      <c r="AA35" s="40"/>
      <c r="AB35" s="40"/>
    </row>
    <row r="36">
      <c r="A36" s="51" t="s">
        <v>30</v>
      </c>
      <c r="B36" s="59">
        <f t="shared" ref="B36:D36" si="34">B35/$B$1</f>
        <v>0</v>
      </c>
      <c r="C36" s="59">
        <f t="shared" si="34"/>
        <v>0</v>
      </c>
      <c r="D36" s="59">
        <f t="shared" si="34"/>
        <v>0</v>
      </c>
      <c r="E36" s="69"/>
      <c r="F36" s="69"/>
      <c r="G36" s="64"/>
      <c r="H36" s="78"/>
      <c r="I36" s="80"/>
      <c r="J36" s="40"/>
      <c r="K36" s="57"/>
      <c r="Q36" s="58"/>
      <c r="R36" s="40"/>
      <c r="S36" s="40"/>
      <c r="T36" s="40"/>
      <c r="U36" s="40"/>
      <c r="V36" s="40"/>
      <c r="W36" s="40"/>
      <c r="X36" s="40"/>
      <c r="Y36" s="40"/>
      <c r="Z36" s="40"/>
      <c r="AA36" s="40"/>
      <c r="AB36" s="40"/>
    </row>
    <row r="37">
      <c r="A37" s="51" t="s">
        <v>32</v>
      </c>
      <c r="B37" s="69"/>
      <c r="C37" s="69"/>
      <c r="D37" s="69"/>
      <c r="E37" s="69"/>
      <c r="F37" s="69"/>
      <c r="G37" s="64"/>
      <c r="H37" s="78"/>
      <c r="I37" s="80">
        <f>I34/I27</f>
        <v>0</v>
      </c>
      <c r="J37" s="40"/>
      <c r="K37" s="81"/>
      <c r="L37" s="82"/>
      <c r="M37" s="82"/>
      <c r="N37" s="82"/>
      <c r="O37" s="82"/>
      <c r="P37" s="82"/>
      <c r="Q37" s="83"/>
      <c r="R37" s="40"/>
      <c r="S37" s="40"/>
      <c r="T37" s="40"/>
      <c r="U37" s="40"/>
      <c r="V37" s="40"/>
      <c r="W37" s="40"/>
      <c r="X37" s="40"/>
      <c r="Y37" s="40"/>
      <c r="Z37" s="40"/>
      <c r="AA37" s="40"/>
      <c r="AB37" s="40"/>
    </row>
    <row r="38">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row>
    <row r="39">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row>
    <row r="40">
      <c r="A40" s="94" t="s">
        <v>55</v>
      </c>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row>
    <row r="41">
      <c r="A41" s="7" t="s">
        <v>3</v>
      </c>
      <c r="B41" s="44" t="str">
        <f t="shared" ref="B41:F41" si="35">B3</f>
        <v>01/11 al 04/11</v>
      </c>
      <c r="C41" s="44" t="str">
        <f t="shared" si="35"/>
        <v>05/11 al 11/11</v>
      </c>
      <c r="D41" s="44" t="str">
        <f t="shared" si="35"/>
        <v>12/11 al 18/11</v>
      </c>
      <c r="E41" s="44" t="str">
        <f t="shared" si="35"/>
        <v>19/11 al 25/11</v>
      </c>
      <c r="F41" s="44" t="str">
        <f t="shared" si="35"/>
        <v>26/11 al 30/11</v>
      </c>
      <c r="G41" s="44" t="s">
        <v>43</v>
      </c>
      <c r="H41" s="45" t="s">
        <v>17</v>
      </c>
      <c r="I41" s="47" t="s">
        <v>45</v>
      </c>
      <c r="J41" s="40"/>
      <c r="K41" s="95"/>
      <c r="L41" s="49"/>
      <c r="M41" s="49"/>
      <c r="N41" s="49"/>
      <c r="O41" s="49"/>
      <c r="P41" s="49"/>
      <c r="Q41" s="50"/>
      <c r="R41" s="40"/>
      <c r="S41" s="40"/>
      <c r="T41" s="40"/>
      <c r="U41" s="40"/>
      <c r="V41" s="40"/>
      <c r="W41" s="40"/>
      <c r="X41" s="40"/>
      <c r="Y41" s="40"/>
      <c r="Z41" s="40"/>
      <c r="AA41" s="40"/>
      <c r="AB41" s="40"/>
    </row>
    <row r="42">
      <c r="A42" s="51" t="s">
        <v>19</v>
      </c>
      <c r="B42" s="67">
        <f>63791+122412+25379</f>
        <v>211582</v>
      </c>
      <c r="C42" s="67">
        <f>103107+197958+2545</f>
        <v>303610</v>
      </c>
      <c r="D42" s="67">
        <f>107344+197252</f>
        <v>304596</v>
      </c>
      <c r="E42" s="67">
        <f>131397+65860</f>
        <v>197257</v>
      </c>
      <c r="F42" s="67">
        <f>16993+316298</f>
        <v>333291</v>
      </c>
      <c r="G42" s="77">
        <f t="shared" ref="G42:G44" si="37">SUM(B42:F42)</f>
        <v>1350336</v>
      </c>
      <c r="H42" s="85">
        <f>C169</f>
        <v>1200000</v>
      </c>
      <c r="I42" s="56">
        <f>$G42/$G$1*30</f>
        <v>1350336</v>
      </c>
      <c r="J42" s="86">
        <f>(H42-G42)/15</f>
        <v>-10022.4</v>
      </c>
      <c r="K42" s="57"/>
      <c r="Q42" s="58"/>
      <c r="R42" s="40"/>
      <c r="S42" s="40"/>
      <c r="T42" s="40"/>
      <c r="U42" s="40"/>
      <c r="V42" s="40"/>
      <c r="W42" s="40"/>
      <c r="X42" s="40"/>
      <c r="Y42" s="40"/>
      <c r="Z42" s="40"/>
      <c r="AA42" s="40"/>
      <c r="AB42" s="40"/>
    </row>
    <row r="43">
      <c r="A43" s="51" t="s">
        <v>20</v>
      </c>
      <c r="B43" s="59">
        <f t="shared" ref="B43:F43" si="36">B42/$B$1</f>
        <v>142.0013423</v>
      </c>
      <c r="C43" s="59">
        <f t="shared" si="36"/>
        <v>203.7651007</v>
      </c>
      <c r="D43" s="59">
        <f t="shared" si="36"/>
        <v>204.4268456</v>
      </c>
      <c r="E43" s="59">
        <f t="shared" si="36"/>
        <v>132.3872483</v>
      </c>
      <c r="F43" s="59">
        <f t="shared" si="36"/>
        <v>223.6852349</v>
      </c>
      <c r="G43" s="60">
        <f t="shared" si="37"/>
        <v>906.2657718</v>
      </c>
      <c r="H43" s="87">
        <f>H42/$B$1</f>
        <v>805.3691275</v>
      </c>
      <c r="I43" s="66"/>
      <c r="J43" s="40"/>
      <c r="K43" s="57"/>
      <c r="Q43" s="58"/>
      <c r="R43" s="40"/>
      <c r="S43" s="40"/>
      <c r="T43" s="40"/>
      <c r="U43" s="40"/>
      <c r="V43" s="40"/>
      <c r="W43" s="40"/>
      <c r="X43" s="40"/>
      <c r="Y43" s="40"/>
      <c r="Z43" s="40"/>
      <c r="AA43" s="40"/>
      <c r="AB43" s="40"/>
    </row>
    <row r="44">
      <c r="A44" s="51" t="s">
        <v>21</v>
      </c>
      <c r="B44" s="63">
        <v>35.0</v>
      </c>
      <c r="C44" s="63">
        <v>198.0</v>
      </c>
      <c r="D44" s="63">
        <v>274.0</v>
      </c>
      <c r="E44" s="63">
        <v>65.0</v>
      </c>
      <c r="F44" s="63">
        <v>275.0</v>
      </c>
      <c r="G44" s="64">
        <f t="shared" si="37"/>
        <v>847</v>
      </c>
      <c r="H44" s="65">
        <f>C172</f>
        <v>218.1818182</v>
      </c>
      <c r="I44" s="66">
        <f>$G44/$G$1*30</f>
        <v>847</v>
      </c>
      <c r="J44" s="40"/>
      <c r="K44" s="57"/>
      <c r="Q44" s="58"/>
      <c r="R44" s="40"/>
      <c r="S44" s="40"/>
      <c r="T44" s="40"/>
      <c r="U44" s="40"/>
      <c r="V44" s="40"/>
      <c r="W44" s="40"/>
      <c r="X44" s="40"/>
      <c r="Y44" s="40"/>
      <c r="Z44" s="40"/>
      <c r="AA44" s="40"/>
      <c r="AB44" s="40"/>
    </row>
    <row r="45">
      <c r="A45" s="51" t="s">
        <v>22</v>
      </c>
      <c r="B45" s="90">
        <f t="shared" ref="B45:F45" si="38">B42/B44</f>
        <v>6045.2</v>
      </c>
      <c r="C45" s="90">
        <f t="shared" si="38"/>
        <v>1533.383838</v>
      </c>
      <c r="D45" s="90">
        <f t="shared" si="38"/>
        <v>1111.664234</v>
      </c>
      <c r="E45" s="90">
        <f t="shared" si="38"/>
        <v>3034.723077</v>
      </c>
      <c r="F45" s="90">
        <f t="shared" si="38"/>
        <v>1211.967273</v>
      </c>
      <c r="G45" s="77">
        <f t="shared" ref="G45:G46" si="41">G42/G$44</f>
        <v>1594.257379</v>
      </c>
      <c r="H45" s="91">
        <f t="shared" ref="H45:I45" si="39">H42/H44</f>
        <v>5500</v>
      </c>
      <c r="I45" s="56">
        <f t="shared" si="39"/>
        <v>1594.257379</v>
      </c>
      <c r="J45" s="40"/>
      <c r="K45" s="57"/>
      <c r="Q45" s="58"/>
      <c r="R45" s="40"/>
      <c r="S45" s="40"/>
      <c r="T45" s="40"/>
      <c r="U45" s="40"/>
      <c r="V45" s="40"/>
      <c r="W45" s="40"/>
      <c r="X45" s="40"/>
      <c r="Y45" s="40"/>
      <c r="Z45" s="40"/>
      <c r="AA45" s="40"/>
      <c r="AB45" s="40"/>
    </row>
    <row r="46">
      <c r="A46" s="51" t="s">
        <v>23</v>
      </c>
      <c r="B46" s="59">
        <f t="shared" ref="B46:F46" si="40">B45/$B$1</f>
        <v>4.057181208</v>
      </c>
      <c r="C46" s="59">
        <f t="shared" si="40"/>
        <v>1.02911667</v>
      </c>
      <c r="D46" s="59">
        <f t="shared" si="40"/>
        <v>0.7460833782</v>
      </c>
      <c r="E46" s="59">
        <f t="shared" si="40"/>
        <v>2.036726897</v>
      </c>
      <c r="F46" s="59">
        <f t="shared" si="40"/>
        <v>0.8134008542</v>
      </c>
      <c r="G46" s="60">
        <f t="shared" si="41"/>
        <v>1.069971395</v>
      </c>
      <c r="H46" s="87">
        <f>H45/$B$1</f>
        <v>3.691275168</v>
      </c>
      <c r="I46" s="66"/>
      <c r="J46" s="40"/>
      <c r="K46" s="57"/>
      <c r="Q46" s="58"/>
      <c r="R46" s="40"/>
      <c r="S46" s="40"/>
      <c r="T46" s="40"/>
      <c r="U46" s="40"/>
      <c r="V46" s="40"/>
      <c r="W46" s="40"/>
      <c r="X46" s="40"/>
      <c r="Y46" s="40"/>
      <c r="Z46" s="40"/>
      <c r="AA46" s="40"/>
      <c r="AB46" s="40"/>
    </row>
    <row r="47">
      <c r="A47" s="51" t="s">
        <v>24</v>
      </c>
      <c r="B47" s="63">
        <v>3.0</v>
      </c>
      <c r="C47" s="63">
        <v>3.0</v>
      </c>
      <c r="D47" s="63">
        <v>3.0</v>
      </c>
      <c r="E47" s="63">
        <v>0.0</v>
      </c>
      <c r="F47" s="63">
        <v>1.0</v>
      </c>
      <c r="G47" s="64">
        <f>SUM(B47:F47)</f>
        <v>10</v>
      </c>
      <c r="H47" s="65">
        <f>C174</f>
        <v>14.18181818</v>
      </c>
      <c r="I47" s="66">
        <f>$G47/$G$1*30</f>
        <v>10</v>
      </c>
      <c r="J47" s="40"/>
      <c r="K47" s="57"/>
      <c r="Q47" s="58"/>
      <c r="R47" s="40"/>
      <c r="S47" s="40"/>
      <c r="T47" s="40"/>
      <c r="U47" s="40"/>
      <c r="V47" s="40"/>
      <c r="W47" s="40"/>
      <c r="X47" s="40"/>
      <c r="Y47" s="40"/>
      <c r="Z47" s="40"/>
      <c r="AA47" s="40"/>
      <c r="AB47" s="40"/>
    </row>
    <row r="48">
      <c r="A48" s="51" t="s">
        <v>25</v>
      </c>
      <c r="B48" s="90">
        <f t="shared" ref="B48:F48" si="42">B42/B47</f>
        <v>70527.33333</v>
      </c>
      <c r="C48" s="90">
        <f t="shared" si="42"/>
        <v>101203.3333</v>
      </c>
      <c r="D48" s="90">
        <f t="shared" si="42"/>
        <v>101532</v>
      </c>
      <c r="E48" s="69" t="str">
        <f t="shared" si="42"/>
        <v>#DIV/0!</v>
      </c>
      <c r="F48" s="90">
        <f t="shared" si="42"/>
        <v>333291</v>
      </c>
      <c r="G48" s="77">
        <f t="shared" ref="G48:G49" si="45">G42/G$47</f>
        <v>135033.6</v>
      </c>
      <c r="H48" s="91">
        <f t="shared" ref="H48:I48" si="43">H42/H47</f>
        <v>84615.38462</v>
      </c>
      <c r="I48" s="71">
        <f t="shared" si="43"/>
        <v>135033.6</v>
      </c>
      <c r="J48" s="40"/>
      <c r="K48" s="57"/>
      <c r="Q48" s="58"/>
      <c r="R48" s="40"/>
      <c r="S48" s="40"/>
      <c r="T48" s="40"/>
      <c r="U48" s="40"/>
      <c r="V48" s="40"/>
      <c r="W48" s="40"/>
      <c r="X48" s="40"/>
      <c r="Y48" s="40"/>
      <c r="Z48" s="40"/>
      <c r="AA48" s="40"/>
      <c r="AB48" s="40"/>
    </row>
    <row r="49">
      <c r="A49" s="51" t="s">
        <v>26</v>
      </c>
      <c r="B49" s="59">
        <f t="shared" ref="B49:F49" si="44">B48/$B$1</f>
        <v>47.33378076</v>
      </c>
      <c r="C49" s="59">
        <f t="shared" si="44"/>
        <v>67.92170022</v>
      </c>
      <c r="D49" s="59">
        <f t="shared" si="44"/>
        <v>68.14228188</v>
      </c>
      <c r="E49" s="59" t="str">
        <f t="shared" si="44"/>
        <v>#DIV/0!</v>
      </c>
      <c r="F49" s="59">
        <f t="shared" si="44"/>
        <v>223.6852349</v>
      </c>
      <c r="G49" s="60">
        <f t="shared" si="45"/>
        <v>90.62657718</v>
      </c>
      <c r="H49" s="87">
        <f>H48/$B$1</f>
        <v>56.78884874</v>
      </c>
      <c r="I49" s="73"/>
      <c r="J49" s="40"/>
      <c r="K49" s="57"/>
      <c r="Q49" s="58"/>
      <c r="R49" s="40"/>
      <c r="S49" s="40"/>
      <c r="T49" s="40"/>
      <c r="U49" s="40"/>
      <c r="V49" s="40"/>
      <c r="W49" s="40"/>
      <c r="X49" s="40"/>
      <c r="Y49" s="40"/>
      <c r="Z49" s="40"/>
      <c r="AA49" s="40"/>
      <c r="AB49" s="40"/>
    </row>
    <row r="50">
      <c r="A50" s="51" t="s">
        <v>27</v>
      </c>
      <c r="B50" s="74">
        <f t="shared" ref="B50:I50" si="46">B47/B44</f>
        <v>0.08571428571</v>
      </c>
      <c r="C50" s="74">
        <f t="shared" si="46"/>
        <v>0.01515151515</v>
      </c>
      <c r="D50" s="74">
        <f t="shared" si="46"/>
        <v>0.01094890511</v>
      </c>
      <c r="E50" s="74">
        <f t="shared" si="46"/>
        <v>0</v>
      </c>
      <c r="F50" s="74">
        <f t="shared" si="46"/>
        <v>0.003636363636</v>
      </c>
      <c r="G50" s="75">
        <f t="shared" si="46"/>
        <v>0.01180637544</v>
      </c>
      <c r="H50" s="92">
        <f t="shared" si="46"/>
        <v>0.065</v>
      </c>
      <c r="I50" s="73">
        <f t="shared" si="46"/>
        <v>0.01180637544</v>
      </c>
      <c r="J50" s="40"/>
      <c r="K50" s="57"/>
      <c r="Q50" s="58"/>
      <c r="R50" s="40"/>
      <c r="S50" s="40"/>
      <c r="T50" s="40"/>
      <c r="U50" s="40"/>
      <c r="V50" s="40"/>
      <c r="W50" s="40"/>
      <c r="X50" s="40"/>
      <c r="Y50" s="40"/>
      <c r="Z50" s="40"/>
      <c r="AA50" s="40"/>
      <c r="AB50" s="40"/>
    </row>
    <row r="51">
      <c r="A51" s="51" t="s">
        <v>28</v>
      </c>
      <c r="B51" s="63"/>
      <c r="C51" s="63"/>
      <c r="D51" s="63"/>
      <c r="E51" s="69"/>
      <c r="F51" s="69"/>
      <c r="G51" s="115">
        <v>1.0</v>
      </c>
      <c r="H51" s="78"/>
      <c r="I51" s="79">
        <f>$G51/$G$1*30</f>
        <v>1</v>
      </c>
      <c r="J51" s="40"/>
      <c r="K51" s="57"/>
      <c r="Q51" s="58"/>
      <c r="R51" s="40"/>
      <c r="S51" s="40"/>
      <c r="T51" s="40"/>
      <c r="U51" s="40"/>
      <c r="V51" s="40"/>
      <c r="W51" s="40"/>
      <c r="X51" s="40"/>
      <c r="Y51" s="40"/>
      <c r="Z51" s="40"/>
      <c r="AA51" s="40"/>
      <c r="AB51" s="40"/>
    </row>
    <row r="52">
      <c r="A52" s="51" t="s">
        <v>29</v>
      </c>
      <c r="B52" s="69"/>
      <c r="C52" s="69"/>
      <c r="D52" s="69"/>
      <c r="E52" s="69"/>
      <c r="F52" s="69"/>
      <c r="G52" s="77">
        <f>G42/G51</f>
        <v>1350336</v>
      </c>
      <c r="H52" s="78"/>
      <c r="I52" s="71">
        <f>I42/I51</f>
        <v>1350336</v>
      </c>
      <c r="J52" s="40"/>
      <c r="K52" s="57"/>
      <c r="Q52" s="58"/>
      <c r="R52" s="40"/>
      <c r="S52" s="40"/>
      <c r="T52" s="40"/>
      <c r="U52" s="40"/>
      <c r="V52" s="40"/>
      <c r="W52" s="40"/>
      <c r="X52" s="40"/>
      <c r="Y52" s="40"/>
      <c r="Z52" s="40"/>
      <c r="AA52" s="40"/>
      <c r="AB52" s="40"/>
    </row>
    <row r="53">
      <c r="A53" s="51" t="s">
        <v>30</v>
      </c>
      <c r="B53" s="59">
        <f t="shared" ref="B53:D53" si="47">B52/$B$1</f>
        <v>0</v>
      </c>
      <c r="C53" s="59">
        <f t="shared" si="47"/>
        <v>0</v>
      </c>
      <c r="D53" s="59">
        <f t="shared" si="47"/>
        <v>0</v>
      </c>
      <c r="E53" s="69"/>
      <c r="F53" s="69"/>
      <c r="G53" s="64"/>
      <c r="H53" s="78"/>
      <c r="I53" s="80"/>
      <c r="J53" s="40"/>
      <c r="K53" s="57"/>
      <c r="Q53" s="58"/>
      <c r="R53" s="40"/>
      <c r="S53" s="40"/>
      <c r="T53" s="40"/>
      <c r="U53" s="40"/>
      <c r="V53" s="40"/>
      <c r="W53" s="40"/>
      <c r="X53" s="40"/>
      <c r="Y53" s="40"/>
      <c r="Z53" s="40"/>
      <c r="AA53" s="40"/>
      <c r="AB53" s="40"/>
    </row>
    <row r="54">
      <c r="A54" s="51" t="s">
        <v>32</v>
      </c>
      <c r="B54" s="69"/>
      <c r="C54" s="69"/>
      <c r="D54" s="69"/>
      <c r="E54" s="69"/>
      <c r="F54" s="69"/>
      <c r="G54" s="64"/>
      <c r="H54" s="78"/>
      <c r="I54" s="80">
        <f>I51/I44</f>
        <v>0.001180637544</v>
      </c>
      <c r="J54" s="40"/>
      <c r="K54" s="81"/>
      <c r="L54" s="82"/>
      <c r="M54" s="82"/>
      <c r="N54" s="82"/>
      <c r="O54" s="82"/>
      <c r="P54" s="82"/>
      <c r="Q54" s="83"/>
      <c r="R54" s="40"/>
      <c r="S54" s="40"/>
      <c r="T54" s="40"/>
      <c r="U54" s="40"/>
      <c r="V54" s="40"/>
      <c r="W54" s="40"/>
      <c r="X54" s="40"/>
      <c r="Y54" s="40"/>
      <c r="Z54" s="40"/>
      <c r="AA54" s="40"/>
      <c r="AB54" s="40"/>
    </row>
    <row r="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row>
    <row r="56">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row>
    <row r="57">
      <c r="A57" s="96" t="s">
        <v>56</v>
      </c>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row>
    <row r="58">
      <c r="A58" s="7" t="s">
        <v>3</v>
      </c>
      <c r="B58" s="44" t="str">
        <f t="shared" ref="B58:F58" si="48">B3</f>
        <v>01/11 al 04/11</v>
      </c>
      <c r="C58" s="44" t="str">
        <f t="shared" si="48"/>
        <v>05/11 al 11/11</v>
      </c>
      <c r="D58" s="44" t="str">
        <f t="shared" si="48"/>
        <v>12/11 al 18/11</v>
      </c>
      <c r="E58" s="44" t="str">
        <f t="shared" si="48"/>
        <v>19/11 al 25/11</v>
      </c>
      <c r="F58" s="44" t="str">
        <f t="shared" si="48"/>
        <v>26/11 al 30/11</v>
      </c>
      <c r="G58" s="44" t="s">
        <v>43</v>
      </c>
      <c r="H58" s="45" t="s">
        <v>17</v>
      </c>
      <c r="I58" s="47" t="s">
        <v>45</v>
      </c>
      <c r="J58" s="40"/>
      <c r="K58" s="95"/>
      <c r="L58" s="49"/>
      <c r="M58" s="49"/>
      <c r="N58" s="49"/>
      <c r="O58" s="49"/>
      <c r="P58" s="49"/>
      <c r="Q58" s="50"/>
      <c r="R58" s="40"/>
      <c r="S58" s="40"/>
      <c r="T58" s="40"/>
      <c r="U58" s="40"/>
      <c r="V58" s="40"/>
      <c r="W58" s="40"/>
      <c r="X58" s="40"/>
      <c r="Y58" s="40"/>
      <c r="Z58" s="40"/>
      <c r="AA58" s="40"/>
      <c r="AB58" s="40"/>
    </row>
    <row r="59">
      <c r="A59" s="51" t="s">
        <v>19</v>
      </c>
      <c r="B59" s="67">
        <f>186449+293464</f>
        <v>479913</v>
      </c>
      <c r="C59" s="67">
        <f>526206+317082</f>
        <v>843288</v>
      </c>
      <c r="D59" s="67">
        <f>430441+264157</f>
        <v>694598</v>
      </c>
      <c r="E59" s="67">
        <f>207875+342100</f>
        <v>549975</v>
      </c>
      <c r="F59" s="67">
        <f>36806+59686+260079</f>
        <v>356571</v>
      </c>
      <c r="G59" s="77">
        <f t="shared" ref="G59:G61" si="50">SUM(B59:F59)</f>
        <v>2924345</v>
      </c>
      <c r="H59" s="85">
        <f>D169</f>
        <v>3600000</v>
      </c>
      <c r="I59" s="56">
        <f>$G59/$G$1*30</f>
        <v>2924345</v>
      </c>
      <c r="J59" s="86">
        <f>(H59-G59)/15</f>
        <v>45043.66667</v>
      </c>
      <c r="K59" s="57"/>
      <c r="Q59" s="58"/>
      <c r="R59" s="40"/>
      <c r="S59" s="40"/>
      <c r="T59" s="40"/>
      <c r="U59" s="40"/>
      <c r="V59" s="40"/>
      <c r="W59" s="40"/>
      <c r="X59" s="40"/>
      <c r="Y59" s="40"/>
      <c r="Z59" s="40"/>
      <c r="AA59" s="40"/>
      <c r="AB59" s="40"/>
    </row>
    <row r="60">
      <c r="A60" s="51" t="s">
        <v>20</v>
      </c>
      <c r="B60" s="59">
        <f t="shared" ref="B60:F60" si="49">B59/$B$1</f>
        <v>322.0892617</v>
      </c>
      <c r="C60" s="59">
        <f t="shared" si="49"/>
        <v>565.9651007</v>
      </c>
      <c r="D60" s="59">
        <f t="shared" si="49"/>
        <v>466.1731544</v>
      </c>
      <c r="E60" s="59">
        <f t="shared" si="49"/>
        <v>369.1107383</v>
      </c>
      <c r="F60" s="59">
        <f t="shared" si="49"/>
        <v>239.309396</v>
      </c>
      <c r="G60" s="60">
        <f t="shared" si="50"/>
        <v>1962.647651</v>
      </c>
      <c r="H60" s="87">
        <f>H59/$B$1</f>
        <v>2416.107383</v>
      </c>
      <c r="I60" s="66"/>
      <c r="J60" s="40"/>
      <c r="K60" s="57"/>
      <c r="Q60" s="58"/>
      <c r="R60" s="40"/>
      <c r="S60" s="40"/>
      <c r="T60" s="40"/>
      <c r="U60" s="40"/>
      <c r="V60" s="40"/>
      <c r="W60" s="40"/>
      <c r="X60" s="40"/>
      <c r="Y60" s="40"/>
      <c r="Z60" s="40"/>
      <c r="AA60" s="40"/>
      <c r="AB60" s="40"/>
    </row>
    <row r="61">
      <c r="A61" s="51" t="s">
        <v>21</v>
      </c>
      <c r="B61" s="63">
        <v>79.0</v>
      </c>
      <c r="C61" s="63">
        <v>263.0</v>
      </c>
      <c r="D61" s="63">
        <v>278.0</v>
      </c>
      <c r="E61" s="63">
        <v>70.0</v>
      </c>
      <c r="F61" s="63">
        <v>88.0</v>
      </c>
      <c r="G61" s="64">
        <f t="shared" si="50"/>
        <v>778</v>
      </c>
      <c r="H61" s="65">
        <f>D172</f>
        <v>720</v>
      </c>
      <c r="I61" s="66">
        <f>$G61/$G$1*30</f>
        <v>778</v>
      </c>
      <c r="J61" s="40"/>
      <c r="K61" s="57"/>
      <c r="Q61" s="58"/>
      <c r="R61" s="40"/>
      <c r="S61" s="40"/>
      <c r="T61" s="40"/>
      <c r="U61" s="40"/>
      <c r="V61" s="40"/>
      <c r="W61" s="40"/>
      <c r="X61" s="40"/>
      <c r="Y61" s="40"/>
      <c r="Z61" s="40"/>
      <c r="AA61" s="40"/>
      <c r="AB61" s="40"/>
    </row>
    <row r="62">
      <c r="A62" s="51" t="s">
        <v>22</v>
      </c>
      <c r="B62" s="90">
        <f t="shared" ref="B62:F62" si="51">B59/B61</f>
        <v>6074.848101</v>
      </c>
      <c r="C62" s="90">
        <f t="shared" si="51"/>
        <v>3206.418251</v>
      </c>
      <c r="D62" s="90">
        <f t="shared" si="51"/>
        <v>2498.553957</v>
      </c>
      <c r="E62" s="90">
        <f t="shared" si="51"/>
        <v>7856.785714</v>
      </c>
      <c r="F62" s="90">
        <f t="shared" si="51"/>
        <v>4051.943182</v>
      </c>
      <c r="G62" s="77">
        <f t="shared" ref="G62:G63" si="54">G59/G$61</f>
        <v>3758.798201</v>
      </c>
      <c r="H62" s="91">
        <f t="shared" ref="H62:I62" si="52">H59/H61</f>
        <v>5000</v>
      </c>
      <c r="I62" s="56">
        <f t="shared" si="52"/>
        <v>3758.798201</v>
      </c>
      <c r="J62" s="40"/>
      <c r="K62" s="57"/>
      <c r="Q62" s="58"/>
      <c r="R62" s="40"/>
      <c r="S62" s="40"/>
      <c r="T62" s="40"/>
      <c r="U62" s="40"/>
      <c r="V62" s="40"/>
      <c r="W62" s="40"/>
      <c r="X62" s="40"/>
      <c r="Y62" s="40"/>
      <c r="Z62" s="40"/>
      <c r="AA62" s="40"/>
      <c r="AB62" s="40"/>
    </row>
    <row r="63">
      <c r="A63" s="51" t="s">
        <v>23</v>
      </c>
      <c r="B63" s="59">
        <f t="shared" ref="B63:F63" si="53">B62/$B$1</f>
        <v>4.077079263</v>
      </c>
      <c r="C63" s="59">
        <f t="shared" si="53"/>
        <v>2.151958558</v>
      </c>
      <c r="D63" s="59">
        <f t="shared" si="53"/>
        <v>1.67688185</v>
      </c>
      <c r="E63" s="59">
        <f t="shared" si="53"/>
        <v>5.273010547</v>
      </c>
      <c r="F63" s="59">
        <f t="shared" si="53"/>
        <v>2.719424954</v>
      </c>
      <c r="G63" s="60">
        <f t="shared" si="54"/>
        <v>2.522683356</v>
      </c>
      <c r="H63" s="87">
        <f>H62/$B$1</f>
        <v>3.355704698</v>
      </c>
      <c r="I63" s="66"/>
      <c r="J63" s="40"/>
      <c r="K63" s="57"/>
      <c r="Q63" s="58"/>
      <c r="R63" s="40"/>
      <c r="S63" s="40"/>
      <c r="T63" s="40"/>
      <c r="U63" s="40"/>
      <c r="V63" s="40"/>
      <c r="W63" s="40"/>
      <c r="X63" s="40"/>
      <c r="Y63" s="40"/>
      <c r="Z63" s="40"/>
      <c r="AA63" s="40"/>
      <c r="AB63" s="40"/>
    </row>
    <row r="64">
      <c r="A64" s="51" t="s">
        <v>24</v>
      </c>
      <c r="B64" s="63">
        <v>3.0</v>
      </c>
      <c r="C64" s="63">
        <v>24.0</v>
      </c>
      <c r="D64" s="63">
        <v>24.0</v>
      </c>
      <c r="E64" s="63">
        <v>7.0</v>
      </c>
      <c r="F64" s="63">
        <v>9.0</v>
      </c>
      <c r="G64" s="64">
        <f>SUM(B64:F64)</f>
        <v>67</v>
      </c>
      <c r="H64" s="65">
        <f>D174</f>
        <v>64.8</v>
      </c>
      <c r="I64" s="66">
        <f>$G64/$G$1*30</f>
        <v>67</v>
      </c>
      <c r="J64" s="40"/>
      <c r="K64" s="57"/>
      <c r="Q64" s="58"/>
      <c r="R64" s="40"/>
      <c r="S64" s="40"/>
      <c r="T64" s="40"/>
      <c r="U64" s="40"/>
      <c r="V64" s="40"/>
      <c r="W64" s="40"/>
      <c r="X64" s="40"/>
      <c r="Y64" s="40"/>
      <c r="Z64" s="40"/>
      <c r="AA64" s="40"/>
      <c r="AB64" s="40"/>
    </row>
    <row r="65">
      <c r="A65" s="51" t="s">
        <v>25</v>
      </c>
      <c r="B65" s="90">
        <f t="shared" ref="B65:F65" si="55">B59/B64</f>
        <v>159971</v>
      </c>
      <c r="C65" s="90">
        <f t="shared" si="55"/>
        <v>35137</v>
      </c>
      <c r="D65" s="90">
        <f t="shared" si="55"/>
        <v>28941.58333</v>
      </c>
      <c r="E65" s="90">
        <f t="shared" si="55"/>
        <v>78567.85714</v>
      </c>
      <c r="F65" s="90">
        <f t="shared" si="55"/>
        <v>39619</v>
      </c>
      <c r="G65" s="77">
        <f t="shared" ref="G65:G66" si="58">G59/G$64</f>
        <v>43646.9403</v>
      </c>
      <c r="H65" s="91">
        <f t="shared" ref="H65:I65" si="56">H59/H64</f>
        <v>55555.55556</v>
      </c>
      <c r="I65" s="71">
        <f t="shared" si="56"/>
        <v>43646.9403</v>
      </c>
      <c r="J65" s="40"/>
      <c r="K65" s="57"/>
      <c r="Q65" s="58"/>
      <c r="R65" s="40"/>
      <c r="S65" s="40"/>
      <c r="T65" s="40"/>
      <c r="U65" s="40"/>
      <c r="V65" s="40"/>
      <c r="W65" s="40"/>
      <c r="X65" s="40"/>
      <c r="Y65" s="40"/>
      <c r="Z65" s="40"/>
      <c r="AA65" s="40"/>
      <c r="AB65" s="40"/>
    </row>
    <row r="66">
      <c r="A66" s="51" t="s">
        <v>26</v>
      </c>
      <c r="B66" s="59">
        <f t="shared" ref="B66:F66" si="57">B65/$B$1</f>
        <v>107.3630872</v>
      </c>
      <c r="C66" s="59">
        <f t="shared" si="57"/>
        <v>23.58187919</v>
      </c>
      <c r="D66" s="59">
        <f t="shared" si="57"/>
        <v>19.42388143</v>
      </c>
      <c r="E66" s="59">
        <f t="shared" si="57"/>
        <v>52.73010547</v>
      </c>
      <c r="F66" s="59">
        <f t="shared" si="57"/>
        <v>26.58993289</v>
      </c>
      <c r="G66" s="60">
        <f t="shared" si="58"/>
        <v>29.29324852</v>
      </c>
      <c r="H66" s="87">
        <f>H65/$B$1</f>
        <v>37.28560776</v>
      </c>
      <c r="I66" s="73"/>
      <c r="J66" s="40"/>
      <c r="K66" s="57"/>
      <c r="Q66" s="58"/>
      <c r="R66" s="40"/>
      <c r="S66" s="40"/>
      <c r="T66" s="40"/>
      <c r="U66" s="40"/>
      <c r="V66" s="40"/>
      <c r="W66" s="40"/>
      <c r="X66" s="40"/>
      <c r="Y66" s="40"/>
      <c r="Z66" s="40"/>
      <c r="AA66" s="40"/>
      <c r="AB66" s="40"/>
    </row>
    <row r="67">
      <c r="A67" s="51" t="s">
        <v>27</v>
      </c>
      <c r="B67" s="74">
        <f t="shared" ref="B67:I67" si="59">B64/B61</f>
        <v>0.03797468354</v>
      </c>
      <c r="C67" s="74">
        <f t="shared" si="59"/>
        <v>0.09125475285</v>
      </c>
      <c r="D67" s="74">
        <f t="shared" si="59"/>
        <v>0.08633093525</v>
      </c>
      <c r="E67" s="74">
        <f t="shared" si="59"/>
        <v>0.1</v>
      </c>
      <c r="F67" s="74">
        <f t="shared" si="59"/>
        <v>0.1022727273</v>
      </c>
      <c r="G67" s="75">
        <f t="shared" si="59"/>
        <v>0.08611825193</v>
      </c>
      <c r="H67" s="92">
        <f t="shared" si="59"/>
        <v>0.09</v>
      </c>
      <c r="I67" s="73">
        <f t="shared" si="59"/>
        <v>0.08611825193</v>
      </c>
      <c r="J67" s="40"/>
      <c r="K67" s="57"/>
      <c r="Q67" s="58"/>
      <c r="R67" s="40"/>
      <c r="S67" s="40"/>
      <c r="T67" s="40"/>
      <c r="U67" s="40"/>
      <c r="V67" s="40"/>
      <c r="W67" s="40"/>
      <c r="X67" s="40"/>
      <c r="Y67" s="40"/>
      <c r="Z67" s="40"/>
      <c r="AA67" s="40"/>
      <c r="AB67" s="40"/>
    </row>
    <row r="68">
      <c r="A68" s="51" t="s">
        <v>28</v>
      </c>
      <c r="B68" s="63"/>
      <c r="C68" s="63"/>
      <c r="D68" s="63"/>
      <c r="E68" s="63"/>
      <c r="F68" s="69"/>
      <c r="G68" s="64">
        <f>SUM(B68:F68)</f>
        <v>0</v>
      </c>
      <c r="H68" s="78"/>
      <c r="I68" s="79">
        <f>$G68/$G$1*30</f>
        <v>0</v>
      </c>
      <c r="J68" s="40"/>
      <c r="K68" s="57"/>
      <c r="Q68" s="58"/>
      <c r="R68" s="40"/>
      <c r="S68" s="40"/>
      <c r="T68" s="40"/>
      <c r="U68" s="40"/>
      <c r="V68" s="40"/>
      <c r="W68" s="40"/>
      <c r="X68" s="40"/>
      <c r="Y68" s="40"/>
      <c r="Z68" s="40"/>
      <c r="AA68" s="40"/>
      <c r="AB68" s="40"/>
    </row>
    <row r="69">
      <c r="A69" s="51" t="s">
        <v>29</v>
      </c>
      <c r="B69" s="69"/>
      <c r="C69" s="69" t="str">
        <f>C59/C68</f>
        <v>#DIV/0!</v>
      </c>
      <c r="D69" s="69"/>
      <c r="E69" s="69" t="str">
        <f>E59/E68</f>
        <v>#DIV/0!</v>
      </c>
      <c r="F69" s="69"/>
      <c r="G69" s="64" t="str">
        <f>G59/G68</f>
        <v>#DIV/0!</v>
      </c>
      <c r="H69" s="78"/>
      <c r="I69" s="93" t="str">
        <f>I59/I68</f>
        <v>#DIV/0!</v>
      </c>
      <c r="J69" s="40"/>
      <c r="K69" s="57"/>
      <c r="Q69" s="58"/>
      <c r="R69" s="40"/>
      <c r="S69" s="40"/>
      <c r="T69" s="40"/>
      <c r="U69" s="40"/>
      <c r="V69" s="40"/>
      <c r="W69" s="40"/>
      <c r="X69" s="40"/>
      <c r="Y69" s="40"/>
      <c r="Z69" s="40"/>
      <c r="AA69" s="40"/>
      <c r="AB69" s="40"/>
    </row>
    <row r="70">
      <c r="A70" s="51" t="s">
        <v>30</v>
      </c>
      <c r="B70" s="59">
        <f t="shared" ref="B70:E70" si="60">B69/$B$1</f>
        <v>0</v>
      </c>
      <c r="C70" s="59" t="str">
        <f t="shared" si="60"/>
        <v>#DIV/0!</v>
      </c>
      <c r="D70" s="59">
        <f t="shared" si="60"/>
        <v>0</v>
      </c>
      <c r="E70" s="59" t="str">
        <f t="shared" si="60"/>
        <v>#DIV/0!</v>
      </c>
      <c r="F70" s="69"/>
      <c r="G70" s="60" t="str">
        <f>G69/$B$1</f>
        <v>#DIV/0!</v>
      </c>
      <c r="H70" s="78"/>
      <c r="I70" s="80"/>
      <c r="J70" s="40"/>
      <c r="K70" s="57"/>
      <c r="Q70" s="58"/>
      <c r="R70" s="40"/>
      <c r="S70" s="40"/>
      <c r="T70" s="40"/>
      <c r="U70" s="40"/>
      <c r="V70" s="40"/>
      <c r="W70" s="40"/>
      <c r="X70" s="40"/>
      <c r="Y70" s="40"/>
      <c r="Z70" s="40"/>
      <c r="AA70" s="40"/>
      <c r="AB70" s="40"/>
    </row>
    <row r="71">
      <c r="A71" s="51" t="s">
        <v>32</v>
      </c>
      <c r="B71" s="69"/>
      <c r="C71" s="69"/>
      <c r="D71" s="69"/>
      <c r="E71" s="69"/>
      <c r="F71" s="69"/>
      <c r="G71" s="64"/>
      <c r="H71" s="78"/>
      <c r="I71" s="80">
        <f>I68/I61</f>
        <v>0</v>
      </c>
      <c r="J71" s="40"/>
      <c r="K71" s="81"/>
      <c r="L71" s="82"/>
      <c r="M71" s="82"/>
      <c r="N71" s="82"/>
      <c r="O71" s="82"/>
      <c r="P71" s="82"/>
      <c r="Q71" s="83"/>
      <c r="R71" s="40"/>
      <c r="S71" s="40"/>
      <c r="T71" s="40"/>
      <c r="U71" s="40"/>
      <c r="V71" s="40"/>
      <c r="W71" s="40"/>
      <c r="X71" s="40"/>
      <c r="Y71" s="40"/>
      <c r="Z71" s="40"/>
      <c r="AA71" s="40"/>
      <c r="AB71" s="40"/>
    </row>
    <row r="72">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row>
    <row r="73">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row>
    <row r="74">
      <c r="A74" s="97" t="s">
        <v>57</v>
      </c>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row>
    <row r="75">
      <c r="A75" s="7" t="s">
        <v>3</v>
      </c>
      <c r="B75" s="44" t="str">
        <f t="shared" ref="B75:F75" si="61">B3</f>
        <v>01/11 al 04/11</v>
      </c>
      <c r="C75" s="44" t="str">
        <f t="shared" si="61"/>
        <v>05/11 al 11/11</v>
      </c>
      <c r="D75" s="44" t="str">
        <f t="shared" si="61"/>
        <v>12/11 al 18/11</v>
      </c>
      <c r="E75" s="44" t="str">
        <f t="shared" si="61"/>
        <v>19/11 al 25/11</v>
      </c>
      <c r="F75" s="44" t="str">
        <f t="shared" si="61"/>
        <v>26/11 al 30/11</v>
      </c>
      <c r="G75" s="44" t="s">
        <v>43</v>
      </c>
      <c r="H75" s="45" t="s">
        <v>17</v>
      </c>
      <c r="I75" s="47" t="s">
        <v>45</v>
      </c>
      <c r="J75" s="40"/>
      <c r="K75" s="40"/>
      <c r="L75" s="40"/>
      <c r="M75" s="40"/>
      <c r="N75" s="40"/>
      <c r="O75" s="40"/>
      <c r="P75" s="40"/>
      <c r="Q75" s="40"/>
      <c r="R75" s="40"/>
      <c r="S75" s="40"/>
      <c r="T75" s="40"/>
      <c r="U75" s="40"/>
      <c r="V75" s="40"/>
      <c r="W75" s="40"/>
      <c r="X75" s="40"/>
      <c r="Y75" s="40"/>
      <c r="Z75" s="40"/>
      <c r="AA75" s="40"/>
      <c r="AB75" s="40"/>
    </row>
    <row r="76">
      <c r="A76" s="51" t="s">
        <v>19</v>
      </c>
      <c r="B76" s="67">
        <v>105091.0</v>
      </c>
      <c r="C76" s="67">
        <v>205454.0</v>
      </c>
      <c r="D76" s="67">
        <v>178751.0</v>
      </c>
      <c r="E76" s="67">
        <f>134277</f>
        <v>134277</v>
      </c>
      <c r="F76" s="67">
        <f>268005+17636</f>
        <v>285641</v>
      </c>
      <c r="G76" s="77">
        <f t="shared" ref="G76:G78" si="63">SUM(B76:F76)</f>
        <v>909214</v>
      </c>
      <c r="H76" s="85">
        <f>E169</f>
        <v>1200000</v>
      </c>
      <c r="I76" s="56">
        <f>$G76/$G$1*30</f>
        <v>909214</v>
      </c>
      <c r="J76" s="86">
        <f>(H76-G76)/15</f>
        <v>19385.73333</v>
      </c>
      <c r="K76" s="40"/>
      <c r="L76" s="40"/>
      <c r="M76" s="40"/>
      <c r="N76" s="40"/>
      <c r="O76" s="40"/>
      <c r="P76" s="40"/>
      <c r="Q76" s="40"/>
      <c r="R76" s="40"/>
      <c r="S76" s="40"/>
      <c r="T76" s="40"/>
      <c r="U76" s="40"/>
      <c r="V76" s="40"/>
      <c r="W76" s="40"/>
      <c r="X76" s="40"/>
      <c r="Y76" s="40"/>
      <c r="Z76" s="40"/>
      <c r="AA76" s="40"/>
      <c r="AB76" s="40"/>
    </row>
    <row r="77">
      <c r="A77" s="51" t="s">
        <v>20</v>
      </c>
      <c r="B77" s="59">
        <f t="shared" ref="B77:F77" si="62">B76/$B$1</f>
        <v>70.53087248</v>
      </c>
      <c r="C77" s="59">
        <f t="shared" si="62"/>
        <v>137.8885906</v>
      </c>
      <c r="D77" s="59">
        <f t="shared" si="62"/>
        <v>119.9671141</v>
      </c>
      <c r="E77" s="59">
        <f t="shared" si="62"/>
        <v>90.11879195</v>
      </c>
      <c r="F77" s="59">
        <f t="shared" si="62"/>
        <v>191.7053691</v>
      </c>
      <c r="G77" s="60">
        <f t="shared" si="63"/>
        <v>610.2107383</v>
      </c>
      <c r="H77" s="87">
        <f>H76/$B$1</f>
        <v>805.3691275</v>
      </c>
      <c r="I77" s="66"/>
      <c r="J77" s="40"/>
      <c r="K77" s="40"/>
      <c r="L77" s="40"/>
      <c r="M77" s="40"/>
      <c r="N77" s="40"/>
      <c r="O77" s="40"/>
      <c r="P77" s="40"/>
      <c r="Q77" s="40"/>
      <c r="R77" s="40"/>
      <c r="S77" s="40"/>
      <c r="T77" s="40"/>
      <c r="U77" s="40"/>
      <c r="V77" s="40"/>
      <c r="W77" s="40"/>
      <c r="X77" s="40"/>
      <c r="Y77" s="40"/>
      <c r="Z77" s="40"/>
      <c r="AA77" s="40"/>
      <c r="AB77" s="40"/>
    </row>
    <row r="78">
      <c r="A78" s="51" t="s">
        <v>21</v>
      </c>
      <c r="B78" s="63">
        <v>11.0</v>
      </c>
      <c r="C78" s="63">
        <v>63.0</v>
      </c>
      <c r="D78" s="63">
        <v>68.0</v>
      </c>
      <c r="E78" s="63">
        <v>9.0</v>
      </c>
      <c r="F78" s="63">
        <v>69.0</v>
      </c>
      <c r="G78" s="64">
        <f t="shared" si="63"/>
        <v>220</v>
      </c>
      <c r="H78" s="65">
        <f>E172</f>
        <v>342.8571429</v>
      </c>
      <c r="I78" s="66">
        <f>$G78/$G$1*30</f>
        <v>220</v>
      </c>
      <c r="J78" s="40"/>
      <c r="K78" s="40"/>
      <c r="L78" s="40"/>
      <c r="M78" s="40"/>
      <c r="N78" s="40"/>
      <c r="O78" s="40"/>
      <c r="P78" s="40"/>
      <c r="Q78" s="40"/>
      <c r="R78" s="40"/>
      <c r="S78" s="40"/>
      <c r="T78" s="40"/>
      <c r="U78" s="40"/>
      <c r="V78" s="40"/>
      <c r="W78" s="40"/>
      <c r="X78" s="40"/>
      <c r="Y78" s="40"/>
      <c r="Z78" s="40"/>
      <c r="AA78" s="40"/>
      <c r="AB78" s="40"/>
    </row>
    <row r="79">
      <c r="A79" s="51" t="s">
        <v>22</v>
      </c>
      <c r="B79" s="90">
        <f t="shared" ref="B79:F79" si="64">B76/B78</f>
        <v>9553.727273</v>
      </c>
      <c r="C79" s="90">
        <f t="shared" si="64"/>
        <v>3261.174603</v>
      </c>
      <c r="D79" s="90">
        <f t="shared" si="64"/>
        <v>2628.691176</v>
      </c>
      <c r="E79" s="90">
        <f t="shared" si="64"/>
        <v>14919.66667</v>
      </c>
      <c r="F79" s="90">
        <f t="shared" si="64"/>
        <v>4139.724638</v>
      </c>
      <c r="G79" s="77">
        <f t="shared" ref="G79:G80" si="67">G76/G$78</f>
        <v>4132.790909</v>
      </c>
      <c r="H79" s="91">
        <f t="shared" ref="H79:I79" si="65">H76/H78</f>
        <v>3500</v>
      </c>
      <c r="I79" s="56">
        <f t="shared" si="65"/>
        <v>4132.790909</v>
      </c>
      <c r="J79" s="40"/>
      <c r="K79" s="40"/>
      <c r="L79" s="40"/>
      <c r="M79" s="40"/>
      <c r="N79" s="40"/>
      <c r="O79" s="40"/>
      <c r="P79" s="40"/>
      <c r="Q79" s="40"/>
      <c r="R79" s="40"/>
      <c r="S79" s="40"/>
      <c r="T79" s="40"/>
      <c r="U79" s="40"/>
      <c r="V79" s="40"/>
      <c r="W79" s="40"/>
      <c r="X79" s="40"/>
      <c r="Y79" s="40"/>
      <c r="Z79" s="40"/>
      <c r="AA79" s="40"/>
      <c r="AB79" s="40"/>
    </row>
    <row r="80">
      <c r="A80" s="51" t="s">
        <v>23</v>
      </c>
      <c r="B80" s="59">
        <f t="shared" ref="B80:F80" si="66">B79/$B$1</f>
        <v>6.411897498</v>
      </c>
      <c r="C80" s="59">
        <f t="shared" si="66"/>
        <v>2.188707787</v>
      </c>
      <c r="D80" s="59">
        <f t="shared" si="66"/>
        <v>1.764222266</v>
      </c>
      <c r="E80" s="59">
        <f t="shared" si="66"/>
        <v>10.01319911</v>
      </c>
      <c r="F80" s="59">
        <f t="shared" si="66"/>
        <v>2.778338683</v>
      </c>
      <c r="G80" s="60">
        <f t="shared" si="67"/>
        <v>2.773685174</v>
      </c>
      <c r="H80" s="87">
        <f>H79/$B$1</f>
        <v>2.348993289</v>
      </c>
      <c r="I80" s="66"/>
      <c r="J80" s="40"/>
      <c r="K80" s="40"/>
      <c r="L80" s="40"/>
      <c r="M80" s="40"/>
      <c r="N80" s="40"/>
      <c r="O80" s="40"/>
      <c r="P80" s="40"/>
      <c r="Q80" s="40"/>
      <c r="R80" s="40"/>
      <c r="S80" s="40"/>
      <c r="T80" s="40"/>
      <c r="U80" s="40"/>
      <c r="V80" s="40"/>
      <c r="W80" s="40"/>
      <c r="X80" s="40"/>
      <c r="Y80" s="40"/>
      <c r="Z80" s="40"/>
      <c r="AA80" s="40"/>
      <c r="AB80" s="40"/>
    </row>
    <row r="81">
      <c r="A81" s="51" t="s">
        <v>24</v>
      </c>
      <c r="B81" s="63">
        <v>2.0</v>
      </c>
      <c r="C81" s="63">
        <v>7.0</v>
      </c>
      <c r="D81" s="63">
        <v>3.0</v>
      </c>
      <c r="E81" s="63">
        <v>0.0</v>
      </c>
      <c r="F81" s="63">
        <v>1.0</v>
      </c>
      <c r="G81" s="64">
        <f>SUM(B81:F81)</f>
        <v>13</v>
      </c>
      <c r="H81" s="65">
        <f>E174</f>
        <v>39.42857143</v>
      </c>
      <c r="I81" s="66">
        <f>$G81/$G$1*30</f>
        <v>13</v>
      </c>
      <c r="J81" s="40"/>
      <c r="K81" s="40"/>
      <c r="L81" s="40"/>
      <c r="M81" s="40"/>
      <c r="N81" s="40"/>
      <c r="O81" s="40"/>
      <c r="P81" s="40"/>
      <c r="Q81" s="40"/>
      <c r="R81" s="40"/>
      <c r="S81" s="40"/>
      <c r="T81" s="40"/>
      <c r="U81" s="40"/>
      <c r="V81" s="40"/>
      <c r="W81" s="40"/>
      <c r="X81" s="40"/>
      <c r="Y81" s="40"/>
      <c r="Z81" s="40"/>
      <c r="AA81" s="40"/>
      <c r="AB81" s="40"/>
    </row>
    <row r="82">
      <c r="A82" s="51" t="s">
        <v>25</v>
      </c>
      <c r="B82" s="90">
        <f t="shared" ref="B82:F82" si="68">B76/B81</f>
        <v>52545.5</v>
      </c>
      <c r="C82" s="90">
        <f t="shared" si="68"/>
        <v>29350.57143</v>
      </c>
      <c r="D82" s="90">
        <f t="shared" si="68"/>
        <v>59583.66667</v>
      </c>
      <c r="E82" s="69" t="str">
        <f t="shared" si="68"/>
        <v>#DIV/0!</v>
      </c>
      <c r="F82" s="90">
        <f t="shared" si="68"/>
        <v>285641</v>
      </c>
      <c r="G82" s="77">
        <f t="shared" ref="G82:G83" si="71">G76/G$81</f>
        <v>69939.53846</v>
      </c>
      <c r="H82" s="91">
        <f t="shared" ref="H82:I82" si="69">H76/H81</f>
        <v>30434.78261</v>
      </c>
      <c r="I82" s="71">
        <f t="shared" si="69"/>
        <v>69939.53846</v>
      </c>
      <c r="J82" s="40"/>
      <c r="K82" s="40"/>
      <c r="L82" s="40"/>
      <c r="M82" s="40"/>
      <c r="N82" s="40"/>
      <c r="O82" s="40"/>
      <c r="P82" s="40"/>
      <c r="Q82" s="40"/>
      <c r="R82" s="40"/>
      <c r="S82" s="40"/>
      <c r="T82" s="40"/>
      <c r="U82" s="40"/>
      <c r="V82" s="40"/>
      <c r="W82" s="40"/>
      <c r="X82" s="40"/>
      <c r="Y82" s="40"/>
      <c r="Z82" s="40"/>
      <c r="AA82" s="40"/>
      <c r="AB82" s="40"/>
    </row>
    <row r="83">
      <c r="A83" s="51" t="s">
        <v>26</v>
      </c>
      <c r="B83" s="59">
        <f t="shared" ref="B83:F83" si="70">B82/$B$1</f>
        <v>35.26543624</v>
      </c>
      <c r="C83" s="59">
        <f t="shared" si="70"/>
        <v>19.69837009</v>
      </c>
      <c r="D83" s="59">
        <f t="shared" si="70"/>
        <v>39.98903803</v>
      </c>
      <c r="E83" s="59" t="str">
        <f t="shared" si="70"/>
        <v>#DIV/0!</v>
      </c>
      <c r="F83" s="59">
        <f t="shared" si="70"/>
        <v>191.7053691</v>
      </c>
      <c r="G83" s="60">
        <f t="shared" si="71"/>
        <v>46.93928756</v>
      </c>
      <c r="H83" s="87">
        <f>H82/$B$1</f>
        <v>20.4260286</v>
      </c>
      <c r="I83" s="73"/>
      <c r="J83" s="40"/>
      <c r="K83" s="40"/>
      <c r="L83" s="40"/>
      <c r="M83" s="40"/>
      <c r="N83" s="40"/>
      <c r="O83" s="40"/>
      <c r="P83" s="40"/>
      <c r="Q83" s="40"/>
      <c r="R83" s="40"/>
      <c r="S83" s="40"/>
      <c r="T83" s="40"/>
      <c r="U83" s="40"/>
      <c r="V83" s="40"/>
      <c r="W83" s="40"/>
      <c r="X83" s="40"/>
      <c r="Y83" s="40"/>
      <c r="Z83" s="40"/>
      <c r="AA83" s="40"/>
      <c r="AB83" s="40"/>
    </row>
    <row r="84">
      <c r="A84" s="51" t="s">
        <v>27</v>
      </c>
      <c r="B84" s="74">
        <f t="shared" ref="B84:I84" si="72">B81/B78</f>
        <v>0.1818181818</v>
      </c>
      <c r="C84" s="74">
        <f t="shared" si="72"/>
        <v>0.1111111111</v>
      </c>
      <c r="D84" s="74">
        <f t="shared" si="72"/>
        <v>0.04411764706</v>
      </c>
      <c r="E84" s="74">
        <f t="shared" si="72"/>
        <v>0</v>
      </c>
      <c r="F84" s="74">
        <f t="shared" si="72"/>
        <v>0.01449275362</v>
      </c>
      <c r="G84" s="75">
        <f t="shared" si="72"/>
        <v>0.05909090909</v>
      </c>
      <c r="H84" s="92">
        <f t="shared" si="72"/>
        <v>0.115</v>
      </c>
      <c r="I84" s="73">
        <f t="shared" si="72"/>
        <v>0.05909090909</v>
      </c>
      <c r="J84" s="40"/>
      <c r="K84" s="40"/>
      <c r="L84" s="40"/>
      <c r="M84" s="40"/>
      <c r="N84" s="40"/>
      <c r="O84" s="40"/>
      <c r="P84" s="40"/>
      <c r="Q84" s="40"/>
      <c r="R84" s="40"/>
      <c r="S84" s="40"/>
      <c r="T84" s="40"/>
      <c r="U84" s="40"/>
      <c r="V84" s="40"/>
      <c r="W84" s="40"/>
      <c r="X84" s="40"/>
      <c r="Y84" s="40"/>
      <c r="Z84" s="40"/>
      <c r="AA84" s="40"/>
      <c r="AB84" s="40"/>
    </row>
    <row r="85">
      <c r="A85" s="51" t="s">
        <v>28</v>
      </c>
      <c r="B85" s="63"/>
      <c r="C85" s="63"/>
      <c r="D85" s="63"/>
      <c r="E85" s="69"/>
      <c r="F85" s="69"/>
      <c r="G85" s="64">
        <f>SUM(B85:D85)</f>
        <v>0</v>
      </c>
      <c r="H85" s="78"/>
      <c r="I85" s="79">
        <f>$G85/$G$1*30</f>
        <v>0</v>
      </c>
      <c r="J85" s="40"/>
      <c r="K85" s="40"/>
      <c r="L85" s="40"/>
      <c r="M85" s="40"/>
      <c r="N85" s="40"/>
      <c r="O85" s="40"/>
      <c r="P85" s="40"/>
      <c r="Q85" s="40"/>
      <c r="R85" s="40"/>
      <c r="S85" s="40"/>
      <c r="T85" s="40"/>
      <c r="U85" s="40"/>
      <c r="V85" s="40"/>
      <c r="W85" s="40"/>
      <c r="X85" s="40"/>
      <c r="Y85" s="40"/>
      <c r="Z85" s="40"/>
      <c r="AA85" s="40"/>
      <c r="AB85" s="40"/>
    </row>
    <row r="86">
      <c r="A86" s="51" t="s">
        <v>29</v>
      </c>
      <c r="B86" s="69"/>
      <c r="C86" s="69"/>
      <c r="D86" s="69"/>
      <c r="E86" s="69"/>
      <c r="F86" s="69"/>
      <c r="G86" s="64"/>
      <c r="H86" s="78"/>
      <c r="I86" s="93" t="str">
        <f>I76/I85</f>
        <v>#DIV/0!</v>
      </c>
      <c r="J86" s="40"/>
      <c r="K86" s="40"/>
      <c r="L86" s="40"/>
      <c r="M86" s="40"/>
      <c r="N86" s="40"/>
      <c r="O86" s="40"/>
      <c r="P86" s="40"/>
      <c r="Q86" s="40"/>
      <c r="R86" s="40"/>
      <c r="S86" s="40"/>
      <c r="T86" s="40"/>
      <c r="U86" s="40"/>
      <c r="V86" s="40"/>
      <c r="W86" s="40"/>
      <c r="X86" s="40"/>
      <c r="Y86" s="40"/>
      <c r="Z86" s="40"/>
      <c r="AA86" s="40"/>
      <c r="AB86" s="40"/>
    </row>
    <row r="87">
      <c r="A87" s="51" t="s">
        <v>30</v>
      </c>
      <c r="B87" s="59">
        <f t="shared" ref="B87:D87" si="73">B86/$B$1</f>
        <v>0</v>
      </c>
      <c r="C87" s="59">
        <f t="shared" si="73"/>
        <v>0</v>
      </c>
      <c r="D87" s="59">
        <f t="shared" si="73"/>
        <v>0</v>
      </c>
      <c r="E87" s="69"/>
      <c r="F87" s="69"/>
      <c r="G87" s="64"/>
      <c r="H87" s="78"/>
      <c r="I87" s="80"/>
      <c r="J87" s="40"/>
      <c r="K87" s="40"/>
      <c r="L87" s="40"/>
      <c r="M87" s="40"/>
      <c r="N87" s="40"/>
      <c r="O87" s="40"/>
      <c r="P87" s="40"/>
      <c r="Q87" s="40"/>
      <c r="R87" s="40"/>
      <c r="S87" s="40"/>
      <c r="T87" s="40"/>
      <c r="U87" s="40"/>
      <c r="V87" s="40"/>
      <c r="W87" s="40"/>
      <c r="X87" s="40"/>
      <c r="Y87" s="40"/>
      <c r="Z87" s="40"/>
      <c r="AA87" s="40"/>
      <c r="AB87" s="40"/>
    </row>
    <row r="88">
      <c r="A88" s="51" t="s">
        <v>32</v>
      </c>
      <c r="B88" s="69"/>
      <c r="C88" s="69"/>
      <c r="D88" s="69"/>
      <c r="E88" s="69"/>
      <c r="F88" s="69"/>
      <c r="G88" s="64"/>
      <c r="H88" s="78"/>
      <c r="I88" s="80">
        <f>I85/I78</f>
        <v>0</v>
      </c>
      <c r="J88" s="40"/>
      <c r="K88" s="40"/>
      <c r="L88" s="40"/>
      <c r="M88" s="40"/>
      <c r="N88" s="40"/>
      <c r="O88" s="40"/>
      <c r="P88" s="40"/>
      <c r="Q88" s="40"/>
      <c r="R88" s="40"/>
      <c r="S88" s="40"/>
      <c r="T88" s="40"/>
      <c r="U88" s="40"/>
      <c r="V88" s="40"/>
      <c r="W88" s="40"/>
      <c r="X88" s="40"/>
      <c r="Y88" s="40"/>
      <c r="Z88" s="40"/>
      <c r="AA88" s="40"/>
      <c r="AB88" s="40"/>
    </row>
    <row r="89">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row>
    <row r="90">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row>
    <row r="91">
      <c r="A91" s="97" t="s">
        <v>58</v>
      </c>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row>
    <row r="92">
      <c r="A92" s="7" t="s">
        <v>3</v>
      </c>
      <c r="B92" s="44" t="str">
        <f t="shared" ref="B92:F92" si="74">B3</f>
        <v>01/11 al 04/11</v>
      </c>
      <c r="C92" s="44" t="str">
        <f t="shared" si="74"/>
        <v>05/11 al 11/11</v>
      </c>
      <c r="D92" s="44" t="str">
        <f t="shared" si="74"/>
        <v>12/11 al 18/11</v>
      </c>
      <c r="E92" s="44" t="str">
        <f t="shared" si="74"/>
        <v>19/11 al 25/11</v>
      </c>
      <c r="F92" s="44" t="str">
        <f t="shared" si="74"/>
        <v>26/11 al 30/11</v>
      </c>
      <c r="G92" s="44" t="s">
        <v>43</v>
      </c>
      <c r="H92" s="45" t="s">
        <v>17</v>
      </c>
      <c r="I92" s="40"/>
      <c r="J92" s="40"/>
      <c r="K92" s="40"/>
      <c r="L92" s="40"/>
      <c r="M92" s="40"/>
      <c r="N92" s="40"/>
      <c r="O92" s="40"/>
      <c r="P92" s="40"/>
      <c r="Q92" s="40"/>
      <c r="R92" s="40"/>
      <c r="S92" s="40"/>
      <c r="T92" s="40"/>
      <c r="U92" s="40"/>
      <c r="V92" s="40"/>
      <c r="W92" s="40"/>
      <c r="X92" s="40"/>
      <c r="Y92" s="40"/>
      <c r="Z92" s="40"/>
      <c r="AA92" s="40"/>
      <c r="AB92" s="40"/>
    </row>
    <row r="93">
      <c r="A93" s="51" t="s">
        <v>19</v>
      </c>
      <c r="B93" s="67"/>
      <c r="C93" s="67"/>
      <c r="D93" s="67"/>
      <c r="E93" s="69"/>
      <c r="F93" s="69"/>
      <c r="G93" s="77">
        <f t="shared" ref="G93:G94" si="75">SUM(B93:F93)</f>
        <v>0</v>
      </c>
      <c r="H93" s="85"/>
      <c r="I93" s="40"/>
      <c r="J93" s="40"/>
      <c r="K93" s="40"/>
      <c r="L93" s="40"/>
      <c r="M93" s="40"/>
      <c r="N93" s="40"/>
      <c r="O93" s="40"/>
      <c r="P93" s="40"/>
      <c r="Q93" s="40"/>
      <c r="R93" s="40"/>
      <c r="S93" s="40"/>
      <c r="T93" s="40"/>
      <c r="U93" s="40"/>
      <c r="V93" s="40"/>
      <c r="W93" s="40"/>
      <c r="X93" s="40"/>
      <c r="Y93" s="40"/>
      <c r="Z93" s="40"/>
      <c r="AA93" s="40"/>
      <c r="AB93" s="40"/>
    </row>
    <row r="94">
      <c r="A94" s="51" t="s">
        <v>21</v>
      </c>
      <c r="B94" s="63"/>
      <c r="C94" s="63"/>
      <c r="D94" s="63"/>
      <c r="E94" s="69"/>
      <c r="F94" s="69"/>
      <c r="G94" s="64">
        <f t="shared" si="75"/>
        <v>0</v>
      </c>
      <c r="H94" s="98"/>
      <c r="I94" s="40"/>
      <c r="J94" s="40"/>
      <c r="K94" s="40"/>
      <c r="L94" s="40"/>
      <c r="M94" s="40"/>
      <c r="N94" s="40"/>
      <c r="O94" s="40"/>
      <c r="P94" s="40"/>
      <c r="Q94" s="40"/>
      <c r="R94" s="40"/>
      <c r="S94" s="40"/>
      <c r="T94" s="40"/>
      <c r="U94" s="40"/>
      <c r="V94" s="40"/>
      <c r="W94" s="40"/>
      <c r="X94" s="40"/>
      <c r="Y94" s="40"/>
      <c r="Z94" s="40"/>
      <c r="AA94" s="40"/>
      <c r="AB94" s="40"/>
    </row>
    <row r="95">
      <c r="A95" s="51" t="s">
        <v>22</v>
      </c>
      <c r="B95" s="69" t="str">
        <f t="shared" ref="B95:D95" si="76">B93/B94</f>
        <v>#DIV/0!</v>
      </c>
      <c r="C95" s="69" t="str">
        <f t="shared" si="76"/>
        <v>#DIV/0!</v>
      </c>
      <c r="D95" s="69" t="str">
        <f t="shared" si="76"/>
        <v>#DIV/0!</v>
      </c>
      <c r="E95" s="69"/>
      <c r="F95" s="69"/>
      <c r="G95" s="64" t="str">
        <f t="shared" ref="G95:H95" si="77">G93/G94</f>
        <v>#DIV/0!</v>
      </c>
      <c r="H95" s="78" t="str">
        <f t="shared" si="77"/>
        <v>#DIV/0!</v>
      </c>
      <c r="I95" s="40"/>
      <c r="J95" s="40"/>
      <c r="K95" s="40"/>
      <c r="L95" s="40"/>
      <c r="M95" s="40"/>
      <c r="N95" s="40"/>
      <c r="O95" s="40"/>
      <c r="P95" s="40"/>
      <c r="Q95" s="40"/>
      <c r="R95" s="40"/>
      <c r="S95" s="40"/>
      <c r="T95" s="40"/>
      <c r="U95" s="40"/>
      <c r="V95" s="40"/>
      <c r="W95" s="40"/>
      <c r="X95" s="40"/>
      <c r="Y95" s="40"/>
      <c r="Z95" s="40"/>
      <c r="AA95" s="40"/>
      <c r="AB95" s="40"/>
    </row>
    <row r="96">
      <c r="A96" s="51" t="s">
        <v>24</v>
      </c>
      <c r="B96" s="63">
        <v>0.0</v>
      </c>
      <c r="C96" s="63"/>
      <c r="D96" s="63"/>
      <c r="E96" s="69"/>
      <c r="F96" s="69"/>
      <c r="G96" s="64">
        <f>SUM(B96:D96)</f>
        <v>0</v>
      </c>
      <c r="H96" s="98"/>
      <c r="I96" s="40"/>
      <c r="J96" s="40"/>
      <c r="K96" s="40"/>
      <c r="L96" s="40"/>
      <c r="M96" s="40"/>
      <c r="N96" s="40"/>
      <c r="O96" s="40"/>
      <c r="P96" s="40"/>
      <c r="Q96" s="40"/>
      <c r="R96" s="40"/>
      <c r="S96" s="40"/>
      <c r="T96" s="40"/>
      <c r="U96" s="40"/>
      <c r="V96" s="40"/>
      <c r="W96" s="40"/>
      <c r="X96" s="40"/>
      <c r="Y96" s="40"/>
      <c r="Z96" s="40"/>
      <c r="AA96" s="40"/>
      <c r="AB96" s="40"/>
    </row>
    <row r="97">
      <c r="A97" s="51" t="s">
        <v>25</v>
      </c>
      <c r="B97" s="69" t="str">
        <f t="shared" ref="B97:D97" si="78">B93/B96</f>
        <v>#DIV/0!</v>
      </c>
      <c r="C97" s="69" t="str">
        <f t="shared" si="78"/>
        <v>#DIV/0!</v>
      </c>
      <c r="D97" s="69" t="str">
        <f t="shared" si="78"/>
        <v>#DIV/0!</v>
      </c>
      <c r="E97" s="69"/>
      <c r="F97" s="69"/>
      <c r="G97" s="64" t="str">
        <f t="shared" ref="G97:H97" si="79">G93/G96</f>
        <v>#DIV/0!</v>
      </c>
      <c r="H97" s="78" t="str">
        <f t="shared" si="79"/>
        <v>#DIV/0!</v>
      </c>
      <c r="I97" s="40"/>
      <c r="J97" s="40"/>
      <c r="K97" s="40"/>
      <c r="L97" s="40"/>
      <c r="M97" s="40"/>
      <c r="N97" s="40"/>
      <c r="O97" s="40"/>
      <c r="P97" s="40"/>
      <c r="Q97" s="40"/>
      <c r="R97" s="40"/>
      <c r="S97" s="40"/>
      <c r="T97" s="40"/>
      <c r="U97" s="40"/>
      <c r="V97" s="40"/>
      <c r="W97" s="40"/>
      <c r="X97" s="40"/>
      <c r="Y97" s="40"/>
      <c r="Z97" s="40"/>
      <c r="AA97" s="40"/>
      <c r="AB97" s="40"/>
    </row>
    <row r="98">
      <c r="A98" s="51" t="s">
        <v>27</v>
      </c>
      <c r="B98" s="74" t="str">
        <f t="shared" ref="B98:D98" si="80">B96/B94</f>
        <v>#DIV/0!</v>
      </c>
      <c r="C98" s="74" t="str">
        <f t="shared" si="80"/>
        <v>#DIV/0!</v>
      </c>
      <c r="D98" s="74" t="str">
        <f t="shared" si="80"/>
        <v>#DIV/0!</v>
      </c>
      <c r="E98" s="69"/>
      <c r="F98" s="69"/>
      <c r="G98" s="75" t="str">
        <f t="shared" ref="G98:H98" si="81">G96/G94</f>
        <v>#DIV/0!</v>
      </c>
      <c r="H98" s="92" t="str">
        <f t="shared" si="81"/>
        <v>#DIV/0!</v>
      </c>
      <c r="I98" s="40"/>
      <c r="J98" s="40"/>
      <c r="K98" s="40"/>
      <c r="L98" s="40"/>
      <c r="M98" s="40"/>
      <c r="N98" s="40"/>
      <c r="O98" s="40"/>
      <c r="P98" s="40"/>
      <c r="Q98" s="40"/>
      <c r="R98" s="40"/>
      <c r="S98" s="40"/>
      <c r="T98" s="40"/>
      <c r="U98" s="40"/>
      <c r="V98" s="40"/>
      <c r="W98" s="40"/>
      <c r="X98" s="40"/>
      <c r="Y98" s="40"/>
      <c r="Z98" s="40"/>
      <c r="AA98" s="40"/>
      <c r="AB98" s="40"/>
    </row>
    <row r="99">
      <c r="A99" s="51" t="s">
        <v>28</v>
      </c>
      <c r="B99" s="63">
        <v>0.0</v>
      </c>
      <c r="C99" s="63">
        <v>0.0</v>
      </c>
      <c r="D99" s="69"/>
      <c r="E99" s="69"/>
      <c r="F99" s="69"/>
      <c r="G99" s="64">
        <f>SUM(B99:D99)</f>
        <v>0</v>
      </c>
      <c r="H99" s="78"/>
      <c r="I99" s="40"/>
      <c r="J99" s="40"/>
      <c r="K99" s="40"/>
      <c r="L99" s="40"/>
      <c r="M99" s="40"/>
      <c r="N99" s="40"/>
      <c r="O99" s="40"/>
      <c r="P99" s="40"/>
      <c r="Q99" s="40"/>
      <c r="R99" s="40"/>
      <c r="S99" s="40"/>
      <c r="T99" s="40"/>
      <c r="U99" s="40"/>
      <c r="V99" s="40"/>
      <c r="W99" s="40"/>
      <c r="X99" s="40"/>
      <c r="Y99" s="40"/>
      <c r="Z99" s="40"/>
      <c r="AA99" s="40"/>
      <c r="AB99" s="40"/>
    </row>
    <row r="100">
      <c r="A100" s="51" t="s">
        <v>29</v>
      </c>
      <c r="B100" s="69"/>
      <c r="C100" s="69"/>
      <c r="D100" s="69"/>
      <c r="E100" s="69"/>
      <c r="F100" s="69"/>
      <c r="G100" s="64"/>
      <c r="H100" s="78"/>
      <c r="I100" s="40"/>
      <c r="J100" s="40"/>
      <c r="K100" s="40"/>
      <c r="L100" s="40"/>
      <c r="M100" s="40"/>
      <c r="N100" s="40"/>
      <c r="O100" s="40"/>
      <c r="P100" s="40"/>
      <c r="Q100" s="40"/>
      <c r="R100" s="40"/>
      <c r="S100" s="40"/>
      <c r="T100" s="40"/>
      <c r="U100" s="40"/>
      <c r="V100" s="40"/>
      <c r="W100" s="40"/>
      <c r="X100" s="40"/>
      <c r="Y100" s="40"/>
      <c r="Z100" s="40"/>
      <c r="AA100" s="40"/>
      <c r="AB100" s="40"/>
    </row>
    <row r="101">
      <c r="A101" s="51" t="s">
        <v>32</v>
      </c>
      <c r="B101" s="69"/>
      <c r="C101" s="69"/>
      <c r="D101" s="69"/>
      <c r="E101" s="69"/>
      <c r="F101" s="69"/>
      <c r="G101" s="64"/>
      <c r="H101" s="78"/>
      <c r="I101" s="40"/>
      <c r="J101" s="40"/>
      <c r="K101" s="40"/>
      <c r="L101" s="40"/>
      <c r="M101" s="40"/>
      <c r="N101" s="40"/>
      <c r="O101" s="40"/>
      <c r="P101" s="40"/>
      <c r="Q101" s="40"/>
      <c r="R101" s="40"/>
      <c r="S101" s="40"/>
      <c r="T101" s="40"/>
      <c r="U101" s="40"/>
      <c r="V101" s="40"/>
      <c r="W101" s="40"/>
      <c r="X101" s="40"/>
      <c r="Y101" s="40"/>
      <c r="Z101" s="40"/>
      <c r="AA101" s="40"/>
      <c r="AB101" s="40"/>
    </row>
    <row r="102">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row>
    <row r="103">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row>
    <row r="104">
      <c r="A104" s="97" t="s">
        <v>93</v>
      </c>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row>
    <row r="105">
      <c r="A105" s="7" t="s">
        <v>3</v>
      </c>
      <c r="B105" s="44" t="str">
        <f t="shared" ref="B105:F105" si="82">B3</f>
        <v>01/11 al 04/11</v>
      </c>
      <c r="C105" s="44" t="str">
        <f t="shared" si="82"/>
        <v>05/11 al 11/11</v>
      </c>
      <c r="D105" s="44" t="str">
        <f t="shared" si="82"/>
        <v>12/11 al 18/11</v>
      </c>
      <c r="E105" s="44" t="str">
        <f t="shared" si="82"/>
        <v>19/11 al 25/11</v>
      </c>
      <c r="F105" s="44" t="str">
        <f t="shared" si="82"/>
        <v>26/11 al 30/11</v>
      </c>
      <c r="G105" s="44" t="s">
        <v>43</v>
      </c>
      <c r="H105" s="45" t="s">
        <v>17</v>
      </c>
      <c r="I105" s="47" t="s">
        <v>45</v>
      </c>
      <c r="J105" s="40"/>
      <c r="K105" s="40"/>
      <c r="L105" s="40"/>
      <c r="M105" s="40"/>
      <c r="N105" s="40"/>
      <c r="O105" s="40"/>
      <c r="P105" s="40"/>
      <c r="Q105" s="40"/>
      <c r="R105" s="40"/>
      <c r="S105" s="40"/>
      <c r="T105" s="40"/>
      <c r="U105" s="40"/>
      <c r="V105" s="40"/>
      <c r="W105" s="40"/>
      <c r="X105" s="40"/>
      <c r="Y105" s="40"/>
      <c r="Z105" s="40"/>
      <c r="AA105" s="40"/>
      <c r="AB105" s="40"/>
    </row>
    <row r="106">
      <c r="A106" s="51" t="s">
        <v>19</v>
      </c>
      <c r="B106" s="67">
        <v>42690.0</v>
      </c>
      <c r="C106" s="67">
        <v>2321.0</v>
      </c>
      <c r="D106" s="67"/>
      <c r="E106" s="67"/>
      <c r="F106" s="67"/>
      <c r="G106" s="77">
        <f t="shared" ref="G106:G108" si="84">SUM(B106:F106)</f>
        <v>45011</v>
      </c>
      <c r="H106" s="85">
        <f>F169</f>
        <v>0</v>
      </c>
      <c r="I106" s="56">
        <f>$G106/$G$1*30</f>
        <v>45011</v>
      </c>
      <c r="J106" s="86">
        <f>(H106-G106)/14</f>
        <v>-3215.071429</v>
      </c>
      <c r="K106" s="40"/>
      <c r="L106" s="40"/>
      <c r="M106" s="40"/>
      <c r="N106" s="40"/>
      <c r="O106" s="40"/>
      <c r="P106" s="40"/>
      <c r="Q106" s="40"/>
      <c r="R106" s="40"/>
      <c r="S106" s="40"/>
      <c r="T106" s="40"/>
      <c r="U106" s="40"/>
      <c r="V106" s="40"/>
      <c r="W106" s="40"/>
      <c r="X106" s="40"/>
      <c r="Y106" s="40"/>
      <c r="Z106" s="40"/>
      <c r="AA106" s="40"/>
      <c r="AB106" s="40"/>
    </row>
    <row r="107">
      <c r="A107" s="51" t="s">
        <v>20</v>
      </c>
      <c r="B107" s="59">
        <f t="shared" ref="B107:F107" si="83">B106/$B$1</f>
        <v>28.65100671</v>
      </c>
      <c r="C107" s="59">
        <f t="shared" si="83"/>
        <v>1.557718121</v>
      </c>
      <c r="D107" s="59">
        <f t="shared" si="83"/>
        <v>0</v>
      </c>
      <c r="E107" s="59">
        <f t="shared" si="83"/>
        <v>0</v>
      </c>
      <c r="F107" s="59">
        <f t="shared" si="83"/>
        <v>0</v>
      </c>
      <c r="G107" s="60">
        <f t="shared" si="84"/>
        <v>30.20872483</v>
      </c>
      <c r="H107" s="87">
        <f>H106/$B$1</f>
        <v>0</v>
      </c>
      <c r="I107" s="66"/>
      <c r="J107" s="40"/>
      <c r="K107" s="40"/>
      <c r="L107" s="40"/>
      <c r="M107" s="40"/>
      <c r="N107" s="40"/>
      <c r="O107" s="40"/>
      <c r="P107" s="40"/>
      <c r="Q107" s="40"/>
      <c r="R107" s="40"/>
      <c r="S107" s="40"/>
      <c r="T107" s="40"/>
      <c r="U107" s="40"/>
      <c r="V107" s="40"/>
      <c r="W107" s="40"/>
      <c r="X107" s="40"/>
      <c r="Y107" s="40"/>
      <c r="Z107" s="40"/>
      <c r="AA107" s="40"/>
      <c r="AB107" s="40"/>
    </row>
    <row r="108">
      <c r="A108" s="51" t="s">
        <v>21</v>
      </c>
      <c r="B108" s="63">
        <v>20.0</v>
      </c>
      <c r="C108" s="63">
        <v>2.0</v>
      </c>
      <c r="D108" s="63"/>
      <c r="E108" s="63"/>
      <c r="F108" s="63"/>
      <c r="G108" s="64">
        <f t="shared" si="84"/>
        <v>22</v>
      </c>
      <c r="H108" s="65">
        <f>F172</f>
        <v>0</v>
      </c>
      <c r="I108" s="66">
        <f>$G108/$G$1*30</f>
        <v>22</v>
      </c>
      <c r="J108" s="40"/>
      <c r="K108" s="40"/>
      <c r="L108" s="40"/>
      <c r="M108" s="40"/>
      <c r="N108" s="40"/>
      <c r="O108" s="40"/>
      <c r="P108" s="40"/>
      <c r="Q108" s="40"/>
      <c r="R108" s="40"/>
      <c r="S108" s="40"/>
      <c r="T108" s="40"/>
      <c r="U108" s="40"/>
      <c r="V108" s="40"/>
      <c r="W108" s="40"/>
      <c r="X108" s="40"/>
      <c r="Y108" s="40"/>
      <c r="Z108" s="40"/>
      <c r="AA108" s="40"/>
      <c r="AB108" s="40"/>
    </row>
    <row r="109">
      <c r="A109" s="51" t="s">
        <v>22</v>
      </c>
      <c r="B109" s="90">
        <f t="shared" ref="B109:F109" si="85">B106/B108</f>
        <v>2134.5</v>
      </c>
      <c r="C109" s="90">
        <f t="shared" si="85"/>
        <v>1160.5</v>
      </c>
      <c r="D109" s="69" t="str">
        <f t="shared" si="85"/>
        <v>#DIV/0!</v>
      </c>
      <c r="E109" s="69" t="str">
        <f t="shared" si="85"/>
        <v>#DIV/0!</v>
      </c>
      <c r="F109" s="69" t="str">
        <f t="shared" si="85"/>
        <v>#DIV/0!</v>
      </c>
      <c r="G109" s="77">
        <f t="shared" ref="G109:G110" si="88">G106/G$108</f>
        <v>2045.954545</v>
      </c>
      <c r="H109" s="78" t="str">
        <f t="shared" ref="H109:I109" si="86">H106/H108</f>
        <v>#DIV/0!</v>
      </c>
      <c r="I109" s="56">
        <f t="shared" si="86"/>
        <v>2045.954545</v>
      </c>
      <c r="J109" s="40"/>
      <c r="K109" s="40"/>
      <c r="L109" s="40"/>
      <c r="M109" s="40"/>
      <c r="N109" s="40"/>
      <c r="O109" s="40"/>
      <c r="P109" s="40"/>
      <c r="Q109" s="40"/>
      <c r="R109" s="40"/>
      <c r="S109" s="40"/>
      <c r="T109" s="40"/>
      <c r="U109" s="40"/>
      <c r="V109" s="40"/>
      <c r="W109" s="40"/>
      <c r="X109" s="40"/>
      <c r="Y109" s="40"/>
      <c r="Z109" s="40"/>
      <c r="AA109" s="40"/>
      <c r="AB109" s="40"/>
    </row>
    <row r="110">
      <c r="A110" s="51" t="s">
        <v>23</v>
      </c>
      <c r="B110" s="59">
        <f t="shared" ref="B110:F110" si="87">B109/$B$1</f>
        <v>1.432550336</v>
      </c>
      <c r="C110" s="59">
        <f t="shared" si="87"/>
        <v>0.7788590604</v>
      </c>
      <c r="D110" s="59" t="str">
        <f t="shared" si="87"/>
        <v>#DIV/0!</v>
      </c>
      <c r="E110" s="59" t="str">
        <f t="shared" si="87"/>
        <v>#DIV/0!</v>
      </c>
      <c r="F110" s="59" t="str">
        <f t="shared" si="87"/>
        <v>#DIV/0!</v>
      </c>
      <c r="G110" s="60">
        <f t="shared" si="88"/>
        <v>1.373123856</v>
      </c>
      <c r="H110" s="87" t="str">
        <f>H109/$B$1</f>
        <v>#DIV/0!</v>
      </c>
      <c r="I110" s="66"/>
      <c r="J110" s="40"/>
      <c r="K110" s="40"/>
      <c r="L110" s="40"/>
      <c r="M110" s="40"/>
      <c r="N110" s="40"/>
      <c r="O110" s="40"/>
      <c r="P110" s="40"/>
      <c r="Q110" s="40"/>
      <c r="R110" s="40"/>
      <c r="S110" s="40"/>
      <c r="T110" s="40"/>
      <c r="U110" s="40"/>
      <c r="V110" s="40"/>
      <c r="W110" s="40"/>
      <c r="X110" s="40"/>
      <c r="Y110" s="40"/>
      <c r="Z110" s="40"/>
      <c r="AA110" s="40"/>
      <c r="AB110" s="40"/>
    </row>
    <row r="111">
      <c r="A111" s="51" t="s">
        <v>24</v>
      </c>
      <c r="B111" s="63"/>
      <c r="C111" s="63">
        <v>0.0</v>
      </c>
      <c r="D111" s="63"/>
      <c r="E111" s="63"/>
      <c r="F111" s="63"/>
      <c r="G111" s="64">
        <f>SUM(B111:F111)</f>
        <v>0</v>
      </c>
      <c r="H111" s="65">
        <f>F174</f>
        <v>0</v>
      </c>
      <c r="I111" s="66">
        <f>$G111/$G$1*30</f>
        <v>0</v>
      </c>
      <c r="J111" s="40"/>
      <c r="K111" s="40"/>
      <c r="L111" s="40"/>
      <c r="M111" s="40"/>
      <c r="N111" s="40"/>
      <c r="O111" s="40"/>
      <c r="P111" s="40"/>
      <c r="Q111" s="40"/>
      <c r="R111" s="40"/>
      <c r="S111" s="40"/>
      <c r="T111" s="40"/>
      <c r="U111" s="40"/>
      <c r="V111" s="40"/>
      <c r="W111" s="40"/>
      <c r="X111" s="40"/>
      <c r="Y111" s="40"/>
      <c r="Z111" s="40"/>
      <c r="AA111" s="40"/>
      <c r="AB111" s="40"/>
    </row>
    <row r="112">
      <c r="A112" s="51" t="s">
        <v>25</v>
      </c>
      <c r="B112" s="63" t="str">
        <f t="shared" ref="B112:F112" si="89">B106/B111</f>
        <v>#DIV/0!</v>
      </c>
      <c r="C112" s="63" t="str">
        <f t="shared" si="89"/>
        <v>#DIV/0!</v>
      </c>
      <c r="D112" s="63" t="str">
        <f t="shared" si="89"/>
        <v>#DIV/0!</v>
      </c>
      <c r="E112" s="63" t="str">
        <f t="shared" si="89"/>
        <v>#DIV/0!</v>
      </c>
      <c r="F112" s="63" t="str">
        <f t="shared" si="89"/>
        <v>#DIV/0!</v>
      </c>
      <c r="G112" s="64" t="str">
        <f t="shared" ref="G112:G113" si="92">G106/G$111</f>
        <v>#DIV/0!</v>
      </c>
      <c r="H112" s="78" t="str">
        <f t="shared" ref="H112:I112" si="90">H106/H111</f>
        <v>#DIV/0!</v>
      </c>
      <c r="I112" s="71" t="str">
        <f t="shared" si="90"/>
        <v>#DIV/0!</v>
      </c>
      <c r="J112" s="40"/>
      <c r="K112" s="40"/>
      <c r="L112" s="40"/>
      <c r="M112" s="40"/>
      <c r="N112" s="40"/>
      <c r="O112" s="40"/>
      <c r="P112" s="40"/>
      <c r="Q112" s="40"/>
      <c r="R112" s="40"/>
      <c r="S112" s="40"/>
      <c r="T112" s="40"/>
      <c r="U112" s="40"/>
      <c r="V112" s="40"/>
      <c r="W112" s="40"/>
      <c r="X112" s="40"/>
      <c r="Y112" s="40"/>
      <c r="Z112" s="40"/>
      <c r="AA112" s="40"/>
      <c r="AB112" s="40"/>
    </row>
    <row r="113">
      <c r="A113" s="51" t="s">
        <v>26</v>
      </c>
      <c r="B113" s="59" t="str">
        <f t="shared" ref="B113:F113" si="91">B112/$B$1</f>
        <v>#DIV/0!</v>
      </c>
      <c r="C113" s="59" t="str">
        <f t="shared" si="91"/>
        <v>#DIV/0!</v>
      </c>
      <c r="D113" s="59" t="str">
        <f t="shared" si="91"/>
        <v>#DIV/0!</v>
      </c>
      <c r="E113" s="59" t="str">
        <f t="shared" si="91"/>
        <v>#DIV/0!</v>
      </c>
      <c r="F113" s="59" t="str">
        <f t="shared" si="91"/>
        <v>#DIV/0!</v>
      </c>
      <c r="G113" s="64" t="str">
        <f t="shared" si="92"/>
        <v>#DIV/0!</v>
      </c>
      <c r="H113" s="87" t="str">
        <f>H112/$B$1</f>
        <v>#DIV/0!</v>
      </c>
      <c r="I113" s="73"/>
      <c r="J113" s="40"/>
      <c r="K113" s="40"/>
      <c r="L113" s="40"/>
      <c r="M113" s="40"/>
      <c r="N113" s="40"/>
      <c r="O113" s="40"/>
      <c r="P113" s="40"/>
      <c r="Q113" s="40"/>
      <c r="R113" s="40"/>
      <c r="S113" s="40"/>
      <c r="T113" s="40"/>
      <c r="U113" s="40"/>
      <c r="V113" s="40"/>
      <c r="W113" s="40"/>
      <c r="X113" s="40"/>
      <c r="Y113" s="40"/>
      <c r="Z113" s="40"/>
      <c r="AA113" s="40"/>
      <c r="AB113" s="40"/>
    </row>
    <row r="114">
      <c r="A114" s="51" t="s">
        <v>27</v>
      </c>
      <c r="B114" s="74"/>
      <c r="C114" s="74">
        <f t="shared" ref="C114:I114" si="93">C111/C108</f>
        <v>0</v>
      </c>
      <c r="D114" s="74" t="str">
        <f t="shared" si="93"/>
        <v>#DIV/0!</v>
      </c>
      <c r="E114" s="74" t="str">
        <f t="shared" si="93"/>
        <v>#DIV/0!</v>
      </c>
      <c r="F114" s="74" t="str">
        <f t="shared" si="93"/>
        <v>#DIV/0!</v>
      </c>
      <c r="G114" s="75">
        <f t="shared" si="93"/>
        <v>0</v>
      </c>
      <c r="H114" s="92" t="str">
        <f t="shared" si="93"/>
        <v>#DIV/0!</v>
      </c>
      <c r="I114" s="73">
        <f t="shared" si="93"/>
        <v>0</v>
      </c>
      <c r="J114" s="40"/>
      <c r="K114" s="40"/>
      <c r="L114" s="40"/>
      <c r="M114" s="40"/>
      <c r="N114" s="40"/>
      <c r="O114" s="40"/>
      <c r="P114" s="40"/>
      <c r="Q114" s="40"/>
      <c r="R114" s="40"/>
      <c r="S114" s="40"/>
      <c r="T114" s="40"/>
      <c r="U114" s="40"/>
      <c r="V114" s="40"/>
      <c r="W114" s="40"/>
      <c r="X114" s="40"/>
      <c r="Y114" s="40"/>
      <c r="Z114" s="40"/>
      <c r="AA114" s="40"/>
      <c r="AB114" s="40"/>
    </row>
    <row r="115">
      <c r="A115" s="51" t="s">
        <v>28</v>
      </c>
      <c r="B115" s="63"/>
      <c r="C115" s="63"/>
      <c r="D115" s="69"/>
      <c r="E115" s="69"/>
      <c r="F115" s="69"/>
      <c r="G115" s="64">
        <f>SUM(B115:D115)</f>
        <v>0</v>
      </c>
      <c r="H115" s="78"/>
      <c r="I115" s="79">
        <f>$G115/$G$1*30</f>
        <v>0</v>
      </c>
      <c r="J115" s="40"/>
      <c r="K115" s="40"/>
      <c r="L115" s="40"/>
      <c r="M115" s="40"/>
      <c r="N115" s="40"/>
      <c r="O115" s="40"/>
      <c r="P115" s="40"/>
      <c r="Q115" s="40"/>
      <c r="R115" s="40"/>
      <c r="S115" s="40"/>
      <c r="T115" s="40"/>
      <c r="U115" s="40"/>
      <c r="V115" s="40"/>
      <c r="W115" s="40"/>
      <c r="X115" s="40"/>
      <c r="Y115" s="40"/>
      <c r="Z115" s="40"/>
      <c r="AA115" s="40"/>
      <c r="AB115" s="40"/>
    </row>
    <row r="116">
      <c r="A116" s="51" t="s">
        <v>29</v>
      </c>
      <c r="B116" s="69"/>
      <c r="C116" s="69"/>
      <c r="D116" s="69"/>
      <c r="E116" s="69"/>
      <c r="F116" s="69"/>
      <c r="G116" s="64"/>
      <c r="H116" s="78"/>
      <c r="I116" s="93" t="str">
        <f>I106/I115</f>
        <v>#DIV/0!</v>
      </c>
      <c r="J116" s="40"/>
      <c r="K116" s="40"/>
      <c r="L116" s="40"/>
      <c r="M116" s="40"/>
      <c r="N116" s="40"/>
      <c r="O116" s="40"/>
      <c r="P116" s="40"/>
      <c r="Q116" s="40"/>
      <c r="R116" s="40"/>
      <c r="S116" s="40"/>
      <c r="T116" s="40"/>
      <c r="U116" s="40"/>
      <c r="V116" s="40"/>
      <c r="W116" s="40"/>
      <c r="X116" s="40"/>
      <c r="Y116" s="40"/>
      <c r="Z116" s="40"/>
      <c r="AA116" s="40"/>
      <c r="AB116" s="40"/>
    </row>
    <row r="117">
      <c r="A117" s="51" t="s">
        <v>30</v>
      </c>
      <c r="B117" s="59">
        <f t="shared" ref="B117:D117" si="94">B116/$B$1</f>
        <v>0</v>
      </c>
      <c r="C117" s="59">
        <f t="shared" si="94"/>
        <v>0</v>
      </c>
      <c r="D117" s="59">
        <f t="shared" si="94"/>
        <v>0</v>
      </c>
      <c r="E117" s="69"/>
      <c r="F117" s="69"/>
      <c r="G117" s="64"/>
      <c r="H117" s="78"/>
      <c r="I117" s="80"/>
      <c r="J117" s="40"/>
      <c r="K117" s="40"/>
      <c r="L117" s="40"/>
      <c r="M117" s="40"/>
      <c r="N117" s="40"/>
      <c r="O117" s="40"/>
      <c r="P117" s="40"/>
      <c r="Q117" s="40"/>
      <c r="R117" s="40"/>
      <c r="S117" s="40"/>
      <c r="T117" s="40"/>
      <c r="U117" s="40"/>
      <c r="V117" s="40"/>
      <c r="W117" s="40"/>
      <c r="X117" s="40"/>
      <c r="Y117" s="40"/>
      <c r="Z117" s="40"/>
      <c r="AA117" s="40"/>
      <c r="AB117" s="40"/>
    </row>
    <row r="118">
      <c r="A118" s="51" t="s">
        <v>32</v>
      </c>
      <c r="B118" s="69"/>
      <c r="C118" s="69"/>
      <c r="D118" s="69"/>
      <c r="E118" s="69"/>
      <c r="F118" s="69"/>
      <c r="G118" s="64"/>
      <c r="H118" s="78"/>
      <c r="I118" s="80">
        <f>I115/I108</f>
        <v>0</v>
      </c>
      <c r="J118" s="40"/>
      <c r="K118" s="40"/>
      <c r="L118" s="40"/>
      <c r="M118" s="40"/>
      <c r="N118" s="40"/>
      <c r="O118" s="40"/>
      <c r="P118" s="40"/>
      <c r="Q118" s="40"/>
      <c r="R118" s="40"/>
      <c r="S118" s="40"/>
      <c r="T118" s="40"/>
      <c r="U118" s="40"/>
      <c r="V118" s="40"/>
      <c r="W118" s="40"/>
      <c r="X118" s="40"/>
      <c r="Y118" s="40"/>
      <c r="Z118" s="40"/>
      <c r="AA118" s="40"/>
      <c r="AB118" s="40"/>
    </row>
    <row r="119">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row>
    <row r="120">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row>
    <row r="121">
      <c r="A121" s="99" t="s">
        <v>60</v>
      </c>
      <c r="B121" s="40"/>
      <c r="C121" s="40"/>
      <c r="D121" s="40"/>
      <c r="E121" s="40"/>
      <c r="F121" s="40"/>
      <c r="G121" s="40"/>
      <c r="H121" s="40"/>
      <c r="I121" s="40"/>
      <c r="J121" s="40"/>
      <c r="K121" s="48"/>
      <c r="L121" s="49"/>
      <c r="M121" s="49"/>
      <c r="N121" s="49"/>
      <c r="O121" s="49"/>
      <c r="P121" s="49"/>
      <c r="Q121" s="50"/>
      <c r="R121" s="40"/>
      <c r="S121" s="40"/>
      <c r="T121" s="40"/>
      <c r="U121" s="40"/>
      <c r="V121" s="40"/>
      <c r="W121" s="40"/>
      <c r="X121" s="40"/>
      <c r="Y121" s="40"/>
      <c r="Z121" s="40"/>
      <c r="AA121" s="40"/>
      <c r="AB121" s="40"/>
    </row>
    <row r="122">
      <c r="A122" s="7" t="s">
        <v>3</v>
      </c>
      <c r="B122" s="44" t="str">
        <f t="shared" ref="B122:F122" si="95">B3</f>
        <v>01/11 al 04/11</v>
      </c>
      <c r="C122" s="44" t="str">
        <f t="shared" si="95"/>
        <v>05/11 al 11/11</v>
      </c>
      <c r="D122" s="44" t="str">
        <f t="shared" si="95"/>
        <v>12/11 al 18/11</v>
      </c>
      <c r="E122" s="44" t="str">
        <f t="shared" si="95"/>
        <v>19/11 al 25/11</v>
      </c>
      <c r="F122" s="44" t="str">
        <f t="shared" si="95"/>
        <v>26/11 al 30/11</v>
      </c>
      <c r="G122" s="44" t="s">
        <v>43</v>
      </c>
      <c r="H122" s="45" t="s">
        <v>17</v>
      </c>
      <c r="I122" s="47" t="s">
        <v>45</v>
      </c>
      <c r="J122" s="40"/>
      <c r="K122" s="57"/>
      <c r="Q122" s="58"/>
      <c r="R122" s="40"/>
      <c r="S122" s="40"/>
      <c r="T122" s="40"/>
      <c r="U122" s="40"/>
      <c r="V122" s="40"/>
      <c r="W122" s="40"/>
      <c r="X122" s="40"/>
      <c r="Y122" s="40"/>
      <c r="Z122" s="40"/>
      <c r="AA122" s="40"/>
      <c r="AB122" s="40"/>
    </row>
    <row r="123">
      <c r="A123" s="51" t="s">
        <v>19</v>
      </c>
      <c r="B123" s="67"/>
      <c r="C123" s="67"/>
      <c r="D123" s="67">
        <f>310386+17826+42223</f>
        <v>370435</v>
      </c>
      <c r="E123" s="67">
        <f>140576</f>
        <v>140576</v>
      </c>
      <c r="F123" s="67">
        <v>97746.0</v>
      </c>
      <c r="G123" s="77">
        <f t="shared" ref="G123:G125" si="97">SUM(B123:F123)</f>
        <v>608757</v>
      </c>
      <c r="H123" s="85">
        <f>G169</f>
        <v>750000</v>
      </c>
      <c r="I123" s="56">
        <f>$G123/$G$1*30</f>
        <v>608757</v>
      </c>
      <c r="J123" s="86">
        <f>(H123-G123)/15</f>
        <v>9416.2</v>
      </c>
      <c r="K123" s="57"/>
      <c r="Q123" s="58"/>
      <c r="R123" s="40"/>
      <c r="S123" s="40"/>
      <c r="T123" s="40"/>
      <c r="U123" s="40"/>
      <c r="V123" s="40"/>
      <c r="W123" s="40"/>
      <c r="X123" s="40"/>
      <c r="Y123" s="40"/>
      <c r="Z123" s="40"/>
      <c r="AA123" s="40"/>
      <c r="AB123" s="40"/>
    </row>
    <row r="124">
      <c r="A124" s="51" t="s">
        <v>20</v>
      </c>
      <c r="B124" s="59">
        <f t="shared" ref="B124:F124" si="96">B123/$B$1</f>
        <v>0</v>
      </c>
      <c r="C124" s="59">
        <f t="shared" si="96"/>
        <v>0</v>
      </c>
      <c r="D124" s="59">
        <f t="shared" si="96"/>
        <v>248.614094</v>
      </c>
      <c r="E124" s="59">
        <f t="shared" si="96"/>
        <v>94.34630872</v>
      </c>
      <c r="F124" s="59">
        <f t="shared" si="96"/>
        <v>65.60134228</v>
      </c>
      <c r="G124" s="60">
        <f t="shared" si="97"/>
        <v>408.561745</v>
      </c>
      <c r="H124" s="87">
        <f>H123/$B$1</f>
        <v>503.3557047</v>
      </c>
      <c r="I124" s="66"/>
      <c r="J124" s="40"/>
      <c r="K124" s="57"/>
      <c r="Q124" s="58"/>
      <c r="R124" s="40"/>
      <c r="S124" s="40"/>
      <c r="T124" s="40"/>
      <c r="U124" s="40"/>
      <c r="V124" s="40"/>
      <c r="W124" s="40"/>
      <c r="X124" s="40"/>
      <c r="Y124" s="40"/>
      <c r="Z124" s="40"/>
      <c r="AA124" s="40"/>
      <c r="AB124" s="40"/>
    </row>
    <row r="125">
      <c r="A125" s="51" t="s">
        <v>21</v>
      </c>
      <c r="B125" s="63"/>
      <c r="C125" s="63"/>
      <c r="D125" s="63">
        <v>1.0</v>
      </c>
      <c r="E125" s="63"/>
      <c r="F125" s="63"/>
      <c r="G125" s="64">
        <f t="shared" si="97"/>
        <v>1</v>
      </c>
      <c r="H125" s="65">
        <f>G172</f>
        <v>93.75</v>
      </c>
      <c r="I125" s="66">
        <f>$G125/$G$1*30</f>
        <v>1</v>
      </c>
      <c r="J125" s="40"/>
      <c r="K125" s="57"/>
      <c r="Q125" s="58"/>
      <c r="R125" s="40"/>
      <c r="S125" s="40"/>
      <c r="T125" s="40"/>
      <c r="U125" s="40"/>
      <c r="V125" s="40"/>
      <c r="W125" s="40"/>
      <c r="X125" s="40"/>
      <c r="Y125" s="40"/>
      <c r="Z125" s="40"/>
      <c r="AA125" s="40"/>
      <c r="AB125" s="40"/>
    </row>
    <row r="126">
      <c r="A126" s="51" t="s">
        <v>22</v>
      </c>
      <c r="B126" s="69" t="str">
        <f t="shared" ref="B126:D126" si="98">B123/B125</f>
        <v>#DIV/0!</v>
      </c>
      <c r="C126" s="69" t="str">
        <f t="shared" si="98"/>
        <v>#DIV/0!</v>
      </c>
      <c r="D126" s="90">
        <f t="shared" si="98"/>
        <v>370435</v>
      </c>
      <c r="E126" s="69" t="str">
        <f t="shared" ref="E126:F126" si="99">E106/E125</f>
        <v>#DIV/0!</v>
      </c>
      <c r="F126" s="69" t="str">
        <f t="shared" si="99"/>
        <v>#DIV/0!</v>
      </c>
      <c r="G126" s="77">
        <f t="shared" ref="G126:G127" si="102">G123/G$125</f>
        <v>608757</v>
      </c>
      <c r="H126" s="91">
        <f t="shared" ref="H126:I126" si="100">H123/H125</f>
        <v>8000</v>
      </c>
      <c r="I126" s="56">
        <f t="shared" si="100"/>
        <v>608757</v>
      </c>
      <c r="J126" s="40"/>
      <c r="K126" s="57"/>
      <c r="Q126" s="58"/>
      <c r="R126" s="40"/>
      <c r="S126" s="40"/>
      <c r="T126" s="40"/>
      <c r="U126" s="40"/>
      <c r="V126" s="40"/>
      <c r="W126" s="40"/>
      <c r="X126" s="40"/>
      <c r="Y126" s="40"/>
      <c r="Z126" s="40"/>
      <c r="AA126" s="40"/>
      <c r="AB126" s="40"/>
    </row>
    <row r="127">
      <c r="A127" s="51" t="s">
        <v>23</v>
      </c>
      <c r="B127" s="59" t="str">
        <f t="shared" ref="B127:F127" si="101">B126/$B$1</f>
        <v>#DIV/0!</v>
      </c>
      <c r="C127" s="59" t="str">
        <f t="shared" si="101"/>
        <v>#DIV/0!</v>
      </c>
      <c r="D127" s="59">
        <f t="shared" si="101"/>
        <v>248.614094</v>
      </c>
      <c r="E127" s="59" t="str">
        <f t="shared" si="101"/>
        <v>#DIV/0!</v>
      </c>
      <c r="F127" s="59" t="str">
        <f t="shared" si="101"/>
        <v>#DIV/0!</v>
      </c>
      <c r="G127" s="60">
        <f t="shared" si="102"/>
        <v>408.561745</v>
      </c>
      <c r="H127" s="87">
        <f>H126/$B$1</f>
        <v>5.369127517</v>
      </c>
      <c r="I127" s="66"/>
      <c r="J127" s="40"/>
      <c r="K127" s="57"/>
      <c r="Q127" s="58"/>
      <c r="R127" s="40"/>
      <c r="S127" s="40"/>
      <c r="T127" s="40"/>
      <c r="U127" s="40"/>
      <c r="V127" s="40"/>
      <c r="W127" s="40"/>
      <c r="X127" s="40"/>
      <c r="Y127" s="40"/>
      <c r="Z127" s="40"/>
      <c r="AA127" s="40"/>
      <c r="AB127" s="40"/>
    </row>
    <row r="128">
      <c r="A128" s="51" t="s">
        <v>24</v>
      </c>
      <c r="B128" s="63"/>
      <c r="C128" s="63"/>
      <c r="D128" s="63">
        <v>1.0</v>
      </c>
      <c r="E128" s="63">
        <v>0.0</v>
      </c>
      <c r="F128" s="63"/>
      <c r="G128" s="64">
        <f>SUM(B128:D128)</f>
        <v>1</v>
      </c>
      <c r="H128" s="65">
        <f>G174</f>
        <v>5.625</v>
      </c>
      <c r="I128" s="66">
        <f>$G128/$G$1*30</f>
        <v>1</v>
      </c>
      <c r="J128" s="40"/>
      <c r="K128" s="57"/>
      <c r="Q128" s="58"/>
      <c r="R128" s="40"/>
      <c r="S128" s="40"/>
      <c r="T128" s="40"/>
      <c r="U128" s="40"/>
      <c r="V128" s="40"/>
      <c r="W128" s="40"/>
      <c r="X128" s="40"/>
      <c r="Y128" s="40"/>
      <c r="Z128" s="40"/>
      <c r="AA128" s="40"/>
      <c r="AB128" s="40"/>
    </row>
    <row r="129">
      <c r="A129" s="51" t="s">
        <v>25</v>
      </c>
      <c r="B129" s="69" t="str">
        <f t="shared" ref="B129:C129" si="103">B123/B128</f>
        <v>#DIV/0!</v>
      </c>
      <c r="C129" s="69" t="str">
        <f t="shared" si="103"/>
        <v>#DIV/0!</v>
      </c>
      <c r="D129" s="90">
        <f t="shared" ref="D129:E129" si="104">D106/D128</f>
        <v>0</v>
      </c>
      <c r="E129" s="69" t="str">
        <f t="shared" si="104"/>
        <v>#DIV/0!</v>
      </c>
      <c r="F129" s="69"/>
      <c r="G129" s="77">
        <f t="shared" ref="G129:G130" si="107">G123/G$128</f>
        <v>608757</v>
      </c>
      <c r="H129" s="91">
        <f t="shared" ref="H129:I129" si="105">H123/H128</f>
        <v>133333.3333</v>
      </c>
      <c r="I129" s="71">
        <f t="shared" si="105"/>
        <v>608757</v>
      </c>
      <c r="J129" s="40"/>
      <c r="K129" s="57"/>
      <c r="Q129" s="58"/>
      <c r="R129" s="40"/>
      <c r="S129" s="40"/>
      <c r="T129" s="40"/>
      <c r="U129" s="40"/>
      <c r="V129" s="40"/>
      <c r="W129" s="40"/>
      <c r="X129" s="40"/>
      <c r="Y129" s="40"/>
      <c r="Z129" s="40"/>
      <c r="AA129" s="40"/>
      <c r="AB129" s="40"/>
    </row>
    <row r="130">
      <c r="A130" s="51" t="s">
        <v>26</v>
      </c>
      <c r="B130" s="59" t="str">
        <f t="shared" ref="B130:E130" si="106">B129/$B$1</f>
        <v>#DIV/0!</v>
      </c>
      <c r="C130" s="59" t="str">
        <f t="shared" si="106"/>
        <v>#DIV/0!</v>
      </c>
      <c r="D130" s="59">
        <f t="shared" si="106"/>
        <v>0</v>
      </c>
      <c r="E130" s="59" t="str">
        <f t="shared" si="106"/>
        <v>#DIV/0!</v>
      </c>
      <c r="F130" s="69"/>
      <c r="G130" s="60">
        <f t="shared" si="107"/>
        <v>408.561745</v>
      </c>
      <c r="H130" s="87">
        <f>H129/$B$1</f>
        <v>89.48545861</v>
      </c>
      <c r="I130" s="73"/>
      <c r="J130" s="40"/>
      <c r="K130" s="57"/>
      <c r="Q130" s="58"/>
      <c r="R130" s="40"/>
      <c r="S130" s="40"/>
      <c r="T130" s="40"/>
      <c r="U130" s="40"/>
      <c r="V130" s="40"/>
      <c r="W130" s="40"/>
      <c r="X130" s="40"/>
      <c r="Y130" s="40"/>
      <c r="Z130" s="40"/>
      <c r="AA130" s="40"/>
      <c r="AB130" s="40"/>
    </row>
    <row r="131">
      <c r="A131" s="51" t="s">
        <v>27</v>
      </c>
      <c r="B131" s="74" t="str">
        <f t="shared" ref="B131:E131" si="108">B128/B125</f>
        <v>#DIV/0!</v>
      </c>
      <c r="C131" s="74" t="str">
        <f t="shared" si="108"/>
        <v>#DIV/0!</v>
      </c>
      <c r="D131" s="74">
        <f t="shared" si="108"/>
        <v>1</v>
      </c>
      <c r="E131" s="74" t="str">
        <f t="shared" si="108"/>
        <v>#DIV/0!</v>
      </c>
      <c r="F131" s="69"/>
      <c r="G131" s="75">
        <f t="shared" ref="G131:I131" si="109">G128/G125</f>
        <v>1</v>
      </c>
      <c r="H131" s="92">
        <f t="shared" si="109"/>
        <v>0.06</v>
      </c>
      <c r="I131" s="73">
        <f t="shared" si="109"/>
        <v>1</v>
      </c>
      <c r="J131" s="40"/>
      <c r="K131" s="57"/>
      <c r="Q131" s="58"/>
      <c r="R131" s="40"/>
      <c r="S131" s="40"/>
      <c r="T131" s="40"/>
      <c r="U131" s="40"/>
      <c r="V131" s="40"/>
      <c r="W131" s="40"/>
      <c r="X131" s="40"/>
      <c r="Y131" s="40"/>
      <c r="Z131" s="40"/>
      <c r="AA131" s="40"/>
      <c r="AB131" s="40"/>
    </row>
    <row r="132">
      <c r="A132" s="51" t="s">
        <v>28</v>
      </c>
      <c r="B132" s="63">
        <v>0.0</v>
      </c>
      <c r="C132" s="63">
        <v>0.0</v>
      </c>
      <c r="D132" s="63">
        <v>0.0</v>
      </c>
      <c r="E132" s="69"/>
      <c r="F132" s="69"/>
      <c r="G132" s="64">
        <f>SUM(B132:D132)</f>
        <v>0</v>
      </c>
      <c r="H132" s="78"/>
      <c r="I132" s="79">
        <f>$G132/$G$1*30</f>
        <v>0</v>
      </c>
      <c r="J132" s="40"/>
      <c r="K132" s="57"/>
      <c r="Q132" s="58"/>
      <c r="R132" s="40"/>
      <c r="S132" s="40"/>
      <c r="T132" s="40"/>
      <c r="U132" s="40"/>
      <c r="V132" s="40"/>
      <c r="W132" s="40"/>
      <c r="X132" s="40"/>
      <c r="Y132" s="40"/>
      <c r="Z132" s="40"/>
      <c r="AA132" s="40"/>
      <c r="AB132" s="40"/>
    </row>
    <row r="133">
      <c r="A133" s="51" t="s">
        <v>29</v>
      </c>
      <c r="B133" s="69"/>
      <c r="C133" s="69"/>
      <c r="D133" s="69"/>
      <c r="E133" s="69"/>
      <c r="F133" s="69"/>
      <c r="G133" s="64"/>
      <c r="H133" s="78"/>
      <c r="I133" s="93" t="str">
        <f>I123/I132</f>
        <v>#DIV/0!</v>
      </c>
      <c r="J133" s="40"/>
      <c r="K133" s="57"/>
      <c r="Q133" s="58"/>
      <c r="R133" s="40"/>
      <c r="S133" s="40"/>
      <c r="T133" s="40"/>
      <c r="U133" s="40"/>
      <c r="V133" s="40"/>
      <c r="W133" s="40"/>
      <c r="X133" s="40"/>
      <c r="Y133" s="40"/>
      <c r="Z133" s="40"/>
      <c r="AA133" s="40"/>
      <c r="AB133" s="40"/>
    </row>
    <row r="134">
      <c r="A134" s="51" t="s">
        <v>30</v>
      </c>
      <c r="B134" s="59">
        <f t="shared" ref="B134:D134" si="110">B133/$B$1</f>
        <v>0</v>
      </c>
      <c r="C134" s="59">
        <f t="shared" si="110"/>
        <v>0</v>
      </c>
      <c r="D134" s="59">
        <f t="shared" si="110"/>
        <v>0</v>
      </c>
      <c r="E134" s="69"/>
      <c r="F134" s="69"/>
      <c r="G134" s="64"/>
      <c r="H134" s="78"/>
      <c r="I134" s="80"/>
      <c r="J134" s="40"/>
      <c r="K134" s="81"/>
      <c r="L134" s="82"/>
      <c r="M134" s="82"/>
      <c r="N134" s="82"/>
      <c r="O134" s="82"/>
      <c r="P134" s="82"/>
      <c r="Q134" s="83"/>
      <c r="R134" s="40"/>
      <c r="S134" s="40"/>
      <c r="T134" s="40"/>
      <c r="U134" s="40"/>
      <c r="V134" s="40"/>
      <c r="W134" s="40"/>
      <c r="X134" s="40"/>
      <c r="Y134" s="40"/>
      <c r="Z134" s="40"/>
      <c r="AA134" s="40"/>
      <c r="AB134" s="40"/>
    </row>
    <row r="135">
      <c r="A135" s="51" t="s">
        <v>32</v>
      </c>
      <c r="B135" s="69"/>
      <c r="C135" s="69"/>
      <c r="D135" s="69"/>
      <c r="E135" s="69"/>
      <c r="F135" s="69"/>
      <c r="G135" s="64"/>
      <c r="H135" s="78"/>
      <c r="I135" s="80">
        <f>I132/I125</f>
        <v>0</v>
      </c>
      <c r="J135" s="40"/>
      <c r="K135" s="40"/>
      <c r="L135" s="40"/>
      <c r="M135" s="40"/>
      <c r="N135" s="40"/>
      <c r="O135" s="40"/>
      <c r="P135" s="40"/>
      <c r="Q135" s="40"/>
      <c r="R135" s="40"/>
      <c r="S135" s="40"/>
      <c r="T135" s="40"/>
      <c r="U135" s="40"/>
      <c r="V135" s="40"/>
      <c r="W135" s="40"/>
      <c r="X135" s="40"/>
      <c r="Y135" s="40"/>
      <c r="Z135" s="40"/>
      <c r="AA135" s="40"/>
      <c r="AB135" s="40"/>
    </row>
    <row r="136">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row>
    <row r="137">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row>
    <row r="138">
      <c r="A138" s="43" t="s">
        <v>61</v>
      </c>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row>
    <row r="139">
      <c r="A139" s="7" t="s">
        <v>3</v>
      </c>
      <c r="B139" s="44" t="str">
        <f t="shared" ref="B139:F139" si="111">B3</f>
        <v>01/11 al 04/11</v>
      </c>
      <c r="C139" s="44" t="str">
        <f t="shared" si="111"/>
        <v>05/11 al 11/11</v>
      </c>
      <c r="D139" s="44" t="str">
        <f t="shared" si="111"/>
        <v>12/11 al 18/11</v>
      </c>
      <c r="E139" s="44" t="str">
        <f t="shared" si="111"/>
        <v>19/11 al 25/11</v>
      </c>
      <c r="F139" s="44" t="str">
        <f t="shared" si="111"/>
        <v>26/11 al 30/11</v>
      </c>
      <c r="G139" s="44" t="s">
        <v>43</v>
      </c>
      <c r="H139" s="40"/>
      <c r="I139" s="40"/>
      <c r="J139" s="40"/>
      <c r="K139" s="40"/>
      <c r="L139" s="40"/>
      <c r="M139" s="40"/>
      <c r="N139" s="40"/>
      <c r="O139" s="40"/>
      <c r="P139" s="40"/>
      <c r="Q139" s="40"/>
      <c r="R139" s="40"/>
      <c r="S139" s="40"/>
      <c r="T139" s="40"/>
      <c r="U139" s="40"/>
      <c r="V139" s="40"/>
      <c r="W139" s="40"/>
      <c r="X139" s="40"/>
      <c r="Y139" s="40"/>
      <c r="Z139" s="40"/>
      <c r="AA139" s="40"/>
      <c r="AB139" s="40"/>
    </row>
    <row r="140">
      <c r="A140" s="51" t="s">
        <v>62</v>
      </c>
      <c r="B140" s="67">
        <f t="shared" ref="B140:E140" si="112">B106+B93+B76+B59+B42+B25</f>
        <v>1086842</v>
      </c>
      <c r="C140" s="67">
        <f t="shared" si="112"/>
        <v>1774374</v>
      </c>
      <c r="D140" s="67">
        <f t="shared" si="112"/>
        <v>1593464</v>
      </c>
      <c r="E140" s="67">
        <f t="shared" si="112"/>
        <v>1164286</v>
      </c>
      <c r="F140" s="67">
        <f>F4</f>
        <v>1474508</v>
      </c>
      <c r="G140" s="77">
        <f t="shared" ref="G140:G144" si="114">SUM(B140:F140)</f>
        <v>7093474</v>
      </c>
      <c r="H140" s="40"/>
      <c r="I140" s="40"/>
      <c r="J140" s="40"/>
      <c r="K140" s="40"/>
      <c r="L140" s="40"/>
      <c r="M140" s="40"/>
      <c r="N140" s="40"/>
      <c r="O140" s="40"/>
      <c r="P140" s="40"/>
      <c r="Q140" s="40"/>
      <c r="R140" s="40"/>
      <c r="S140" s="40"/>
      <c r="T140" s="40"/>
      <c r="U140" s="40"/>
      <c r="V140" s="40"/>
      <c r="W140" s="40"/>
      <c r="X140" s="40"/>
      <c r="Y140" s="40"/>
      <c r="Z140" s="40"/>
      <c r="AA140" s="40"/>
      <c r="AB140" s="40"/>
    </row>
    <row r="141">
      <c r="A141" s="51" t="s">
        <v>63</v>
      </c>
      <c r="B141" s="67" t="str">
        <f t="shared" ref="B141:F141" si="113">B123</f>
        <v/>
      </c>
      <c r="C141" s="67" t="str">
        <f t="shared" si="113"/>
        <v/>
      </c>
      <c r="D141" s="67">
        <f t="shared" si="113"/>
        <v>370435</v>
      </c>
      <c r="E141" s="67">
        <f t="shared" si="113"/>
        <v>140576</v>
      </c>
      <c r="F141" s="67">
        <f t="shared" si="113"/>
        <v>97746</v>
      </c>
      <c r="G141" s="77">
        <f t="shared" si="114"/>
        <v>608757</v>
      </c>
      <c r="H141" s="40"/>
      <c r="I141" s="40"/>
      <c r="J141" s="40"/>
      <c r="K141" s="40"/>
      <c r="L141" s="40"/>
      <c r="M141" s="40"/>
      <c r="N141" s="40"/>
      <c r="O141" s="40"/>
      <c r="P141" s="40"/>
      <c r="Q141" s="40"/>
      <c r="R141" s="40"/>
      <c r="S141" s="40"/>
      <c r="T141" s="40"/>
      <c r="U141" s="40"/>
      <c r="V141" s="40"/>
      <c r="W141" s="40"/>
      <c r="X141" s="40"/>
      <c r="Y141" s="40"/>
      <c r="Z141" s="40"/>
      <c r="AA141" s="40"/>
      <c r="AB141" s="40"/>
    </row>
    <row r="142">
      <c r="A142" s="51" t="s">
        <v>64</v>
      </c>
      <c r="B142" s="69">
        <f t="shared" ref="B142:F142" si="115">B143+B144</f>
        <v>13</v>
      </c>
      <c r="C142" s="69">
        <f t="shared" si="115"/>
        <v>41</v>
      </c>
      <c r="D142" s="69">
        <f t="shared" si="115"/>
        <v>34</v>
      </c>
      <c r="E142" s="69">
        <f t="shared" si="115"/>
        <v>8</v>
      </c>
      <c r="F142" s="69">
        <f t="shared" si="115"/>
        <v>12</v>
      </c>
      <c r="G142" s="64">
        <f t="shared" si="114"/>
        <v>108</v>
      </c>
      <c r="H142" s="40"/>
      <c r="I142" s="40"/>
      <c r="J142" s="40"/>
      <c r="K142" s="40"/>
      <c r="L142" s="40"/>
      <c r="M142" s="40"/>
      <c r="N142" s="40"/>
      <c r="O142" s="40"/>
      <c r="P142" s="40"/>
      <c r="Q142" s="40"/>
      <c r="R142" s="40"/>
      <c r="S142" s="40"/>
      <c r="T142" s="40"/>
      <c r="U142" s="40"/>
      <c r="V142" s="40"/>
      <c r="W142" s="40"/>
      <c r="X142" s="40"/>
      <c r="Y142" s="40"/>
      <c r="Z142" s="40"/>
      <c r="AA142" s="40"/>
      <c r="AB142" s="40"/>
    </row>
    <row r="143">
      <c r="A143" s="51" t="s">
        <v>65</v>
      </c>
      <c r="B143" s="63">
        <f t="shared" ref="B143:F143" si="116">B111+B96+B81+B64+B47+B30</f>
        <v>13</v>
      </c>
      <c r="C143" s="63">
        <f t="shared" si="116"/>
        <v>41</v>
      </c>
      <c r="D143" s="63">
        <f t="shared" si="116"/>
        <v>33</v>
      </c>
      <c r="E143" s="63">
        <f t="shared" si="116"/>
        <v>8</v>
      </c>
      <c r="F143" s="63">
        <f t="shared" si="116"/>
        <v>12</v>
      </c>
      <c r="G143" s="64">
        <f t="shared" si="114"/>
        <v>107</v>
      </c>
      <c r="H143" s="40"/>
      <c r="I143" s="40"/>
      <c r="J143" s="40"/>
      <c r="K143" s="40"/>
      <c r="L143" s="40"/>
      <c r="M143" s="40"/>
      <c r="N143" s="40"/>
      <c r="O143" s="40"/>
      <c r="P143" s="40"/>
      <c r="Q143" s="40"/>
      <c r="R143" s="40"/>
      <c r="S143" s="40"/>
      <c r="T143" s="40"/>
      <c r="U143" s="40"/>
      <c r="V143" s="40"/>
      <c r="W143" s="40"/>
      <c r="X143" s="40"/>
      <c r="Y143" s="40"/>
      <c r="Z143" s="40"/>
      <c r="AA143" s="40"/>
      <c r="AB143" s="40"/>
    </row>
    <row r="144">
      <c r="A144" s="51" t="s">
        <v>66</v>
      </c>
      <c r="B144" s="63" t="str">
        <f t="shared" ref="B144:F144" si="117">B128</f>
        <v/>
      </c>
      <c r="C144" s="63" t="str">
        <f t="shared" si="117"/>
        <v/>
      </c>
      <c r="D144" s="63">
        <f t="shared" si="117"/>
        <v>1</v>
      </c>
      <c r="E144" s="63">
        <f t="shared" si="117"/>
        <v>0</v>
      </c>
      <c r="F144" s="63" t="str">
        <f t="shared" si="117"/>
        <v/>
      </c>
      <c r="G144" s="64">
        <f t="shared" si="114"/>
        <v>1</v>
      </c>
      <c r="H144" s="40"/>
      <c r="I144" s="40"/>
      <c r="J144" s="40"/>
      <c r="K144" s="40"/>
      <c r="L144" s="40"/>
      <c r="M144" s="40"/>
      <c r="N144" s="40"/>
      <c r="O144" s="40"/>
      <c r="P144" s="40"/>
      <c r="Q144" s="40"/>
      <c r="R144" s="40"/>
      <c r="S144" s="40"/>
      <c r="T144" s="40"/>
      <c r="U144" s="40"/>
      <c r="V144" s="40"/>
      <c r="W144" s="40"/>
      <c r="X144" s="40"/>
      <c r="Y144" s="40"/>
      <c r="Z144" s="40"/>
      <c r="AA144" s="40"/>
      <c r="AB144" s="40"/>
    </row>
    <row r="145">
      <c r="A145" s="51" t="s">
        <v>67</v>
      </c>
      <c r="B145" s="90">
        <f t="shared" ref="B145:B146" si="119">B140/B143</f>
        <v>83603.23077</v>
      </c>
      <c r="C145" s="90">
        <f t="shared" ref="C145:G145" si="118">C140/C142</f>
        <v>43277.41463</v>
      </c>
      <c r="D145" s="90">
        <f t="shared" si="118"/>
        <v>46866.58824</v>
      </c>
      <c r="E145" s="90">
        <f t="shared" si="118"/>
        <v>145535.75</v>
      </c>
      <c r="F145" s="90">
        <f t="shared" si="118"/>
        <v>122875.6667</v>
      </c>
      <c r="G145" s="77">
        <f t="shared" si="118"/>
        <v>65680.31481</v>
      </c>
      <c r="H145" s="40"/>
      <c r="I145" s="40"/>
      <c r="J145" s="40"/>
      <c r="K145" s="40"/>
      <c r="L145" s="40"/>
      <c r="M145" s="40"/>
      <c r="N145" s="40"/>
      <c r="O145" s="40"/>
      <c r="P145" s="40"/>
      <c r="Q145" s="40"/>
      <c r="R145" s="40"/>
      <c r="S145" s="40"/>
      <c r="T145" s="40"/>
      <c r="U145" s="40"/>
      <c r="V145" s="40"/>
      <c r="W145" s="40"/>
      <c r="X145" s="40"/>
      <c r="Y145" s="40"/>
      <c r="Z145" s="40"/>
      <c r="AA145" s="40"/>
      <c r="AB145" s="40"/>
    </row>
    <row r="146">
      <c r="A146" s="51" t="s">
        <v>68</v>
      </c>
      <c r="B146" s="69" t="str">
        <f t="shared" si="119"/>
        <v>#DIV/0!</v>
      </c>
      <c r="C146" s="69" t="str">
        <f t="shared" ref="C146:G146" si="120">C141/C144</f>
        <v>#DIV/0!</v>
      </c>
      <c r="D146" s="90">
        <f t="shared" si="120"/>
        <v>370435</v>
      </c>
      <c r="E146" s="69" t="str">
        <f t="shared" si="120"/>
        <v>#DIV/0!</v>
      </c>
      <c r="F146" s="69" t="str">
        <f t="shared" si="120"/>
        <v>#DIV/0!</v>
      </c>
      <c r="G146" s="77">
        <f t="shared" si="120"/>
        <v>608757</v>
      </c>
      <c r="H146" s="40"/>
      <c r="I146" s="40"/>
      <c r="J146" s="40"/>
      <c r="K146" s="40"/>
      <c r="L146" s="40"/>
      <c r="M146" s="40"/>
      <c r="N146" s="40"/>
      <c r="O146" s="40"/>
      <c r="P146" s="40"/>
      <c r="Q146" s="40"/>
      <c r="R146" s="40"/>
      <c r="S146" s="40"/>
      <c r="T146" s="40"/>
      <c r="U146" s="40"/>
      <c r="V146" s="40"/>
      <c r="W146" s="40"/>
      <c r="X146" s="40"/>
      <c r="Y146" s="40"/>
      <c r="Z146" s="40"/>
      <c r="AA146" s="40"/>
      <c r="AB146" s="40"/>
    </row>
    <row r="147">
      <c r="A147" s="51" t="s">
        <v>69</v>
      </c>
      <c r="B147" s="63">
        <v>0.0</v>
      </c>
      <c r="C147" s="63">
        <v>0.0</v>
      </c>
      <c r="D147" s="63">
        <v>0.0</v>
      </c>
      <c r="E147" s="63">
        <v>0.0</v>
      </c>
      <c r="F147" s="63">
        <v>0.0</v>
      </c>
      <c r="G147" s="64"/>
      <c r="H147" s="40"/>
      <c r="I147" s="40"/>
      <c r="J147" s="40"/>
      <c r="K147" s="40"/>
      <c r="L147" s="40"/>
      <c r="M147" s="40"/>
      <c r="N147" s="40"/>
      <c r="O147" s="40"/>
      <c r="P147" s="40"/>
      <c r="Q147" s="40"/>
      <c r="R147" s="40"/>
      <c r="S147" s="40"/>
      <c r="T147" s="40"/>
      <c r="U147" s="40"/>
      <c r="V147" s="40"/>
      <c r="W147" s="40"/>
      <c r="X147" s="40"/>
      <c r="Y147" s="40"/>
      <c r="Z147" s="40"/>
      <c r="AA147" s="40"/>
      <c r="AB147" s="40"/>
    </row>
    <row r="148">
      <c r="A148" s="51" t="s">
        <v>70</v>
      </c>
      <c r="B148" s="63">
        <v>0.0</v>
      </c>
      <c r="C148" s="63">
        <v>0.0</v>
      </c>
      <c r="D148" s="63">
        <v>0.0</v>
      </c>
      <c r="E148" s="63">
        <v>0.0</v>
      </c>
      <c r="F148" s="63">
        <v>0.0</v>
      </c>
      <c r="G148" s="64"/>
      <c r="H148" s="40"/>
      <c r="I148" s="40"/>
      <c r="J148" s="40"/>
      <c r="K148" s="40"/>
      <c r="L148" s="40"/>
      <c r="M148" s="40"/>
      <c r="N148" s="40"/>
      <c r="O148" s="40"/>
      <c r="P148" s="40"/>
      <c r="Q148" s="40"/>
      <c r="R148" s="40"/>
      <c r="S148" s="40"/>
      <c r="T148" s="40"/>
      <c r="U148" s="40"/>
      <c r="V148" s="40"/>
      <c r="W148" s="40"/>
      <c r="X148" s="40"/>
      <c r="Y148" s="40"/>
      <c r="Z148" s="40"/>
      <c r="AA148" s="40"/>
      <c r="AB148" s="40"/>
    </row>
    <row r="149">
      <c r="A149" s="51" t="s">
        <v>71</v>
      </c>
      <c r="B149" s="69"/>
      <c r="C149" s="69"/>
      <c r="D149" s="69"/>
      <c r="E149" s="69"/>
      <c r="F149" s="69"/>
      <c r="G149" s="64"/>
      <c r="H149" s="40"/>
      <c r="I149" s="40"/>
      <c r="J149" s="40"/>
      <c r="K149" s="40"/>
      <c r="L149" s="40"/>
      <c r="M149" s="40"/>
      <c r="N149" s="40"/>
      <c r="O149" s="40"/>
      <c r="P149" s="40"/>
      <c r="Q149" s="40"/>
      <c r="R149" s="40"/>
      <c r="S149" s="40"/>
      <c r="T149" s="40"/>
      <c r="U149" s="40"/>
      <c r="V149" s="40"/>
      <c r="W149" s="40"/>
      <c r="X149" s="40"/>
      <c r="Y149" s="40"/>
      <c r="Z149" s="40"/>
      <c r="AA149" s="40"/>
      <c r="AB149" s="40"/>
    </row>
    <row r="150">
      <c r="A150" s="51" t="s">
        <v>72</v>
      </c>
      <c r="B150" s="69"/>
      <c r="C150" s="69"/>
      <c r="D150" s="69"/>
      <c r="E150" s="69"/>
      <c r="F150" s="69"/>
      <c r="G150" s="64"/>
      <c r="H150" s="40"/>
      <c r="I150" s="40"/>
      <c r="J150" s="40"/>
      <c r="K150" s="40"/>
      <c r="L150" s="40"/>
      <c r="M150" s="40"/>
      <c r="N150" s="40"/>
      <c r="O150" s="40"/>
      <c r="P150" s="40"/>
      <c r="Q150" s="40"/>
      <c r="R150" s="40"/>
      <c r="S150" s="40"/>
      <c r="T150" s="40"/>
      <c r="U150" s="40"/>
      <c r="V150" s="40"/>
      <c r="W150" s="40"/>
      <c r="X150" s="40"/>
      <c r="Y150" s="40"/>
      <c r="Z150" s="40"/>
      <c r="AA150" s="40"/>
      <c r="AB150" s="40"/>
    </row>
    <row r="151">
      <c r="A151" s="51" t="s">
        <v>32</v>
      </c>
      <c r="B151" s="69"/>
      <c r="C151" s="69"/>
      <c r="D151" s="69"/>
      <c r="E151" s="69"/>
      <c r="F151" s="69"/>
      <c r="G151" s="64"/>
      <c r="H151" s="40"/>
      <c r="I151" s="40"/>
      <c r="J151" s="40"/>
      <c r="K151" s="40"/>
      <c r="L151" s="40"/>
      <c r="M151" s="40"/>
      <c r="N151" s="40"/>
      <c r="O151" s="40"/>
      <c r="P151" s="40"/>
      <c r="Q151" s="40"/>
      <c r="R151" s="40"/>
      <c r="S151" s="40"/>
      <c r="T151" s="40"/>
      <c r="U151" s="40"/>
      <c r="V151" s="40"/>
      <c r="W151" s="40"/>
      <c r="X151" s="40"/>
      <c r="Y151" s="40"/>
      <c r="Z151" s="40"/>
      <c r="AA151" s="40"/>
      <c r="AB151" s="40"/>
    </row>
    <row r="152">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row>
    <row r="153">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row>
    <row r="154">
      <c r="A154" s="97" t="s">
        <v>73</v>
      </c>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row>
    <row r="155">
      <c r="A155" s="7" t="s">
        <v>3</v>
      </c>
      <c r="B155" s="44" t="s">
        <v>54</v>
      </c>
      <c r="C155" s="44" t="s">
        <v>55</v>
      </c>
      <c r="D155" s="44" t="s">
        <v>56</v>
      </c>
      <c r="E155" s="44" t="s">
        <v>74</v>
      </c>
      <c r="F155" s="44" t="s">
        <v>94</v>
      </c>
      <c r="G155" s="44" t="s">
        <v>76</v>
      </c>
      <c r="H155" s="44" t="s">
        <v>43</v>
      </c>
      <c r="I155" s="40"/>
      <c r="J155" s="40"/>
      <c r="K155" s="40"/>
      <c r="L155" s="40"/>
      <c r="M155" s="40"/>
      <c r="N155" s="40"/>
      <c r="O155" s="40"/>
      <c r="P155" s="40"/>
      <c r="Q155" s="40"/>
      <c r="R155" s="40"/>
      <c r="S155" s="40"/>
      <c r="T155" s="40"/>
      <c r="U155" s="40"/>
      <c r="V155" s="40"/>
      <c r="W155" s="40"/>
      <c r="X155" s="40"/>
      <c r="Y155" s="40"/>
      <c r="Z155" s="40"/>
      <c r="AA155" s="40"/>
      <c r="AB155" s="40"/>
    </row>
    <row r="156">
      <c r="A156" s="51" t="s">
        <v>19</v>
      </c>
      <c r="B156" s="90">
        <f>G25</f>
        <v>1671489</v>
      </c>
      <c r="C156" s="90">
        <f>G42</f>
        <v>1350336</v>
      </c>
      <c r="D156" s="90">
        <f>G59</f>
        <v>2924345</v>
      </c>
      <c r="E156" s="90">
        <f>G76</f>
        <v>909214</v>
      </c>
      <c r="F156" s="90">
        <f>G106</f>
        <v>45011</v>
      </c>
      <c r="G156" s="90">
        <f>G123</f>
        <v>608757</v>
      </c>
      <c r="H156" s="90">
        <f>SUM(B156:G156)</f>
        <v>7509152</v>
      </c>
      <c r="I156" s="40"/>
      <c r="J156" s="40"/>
      <c r="K156" s="40"/>
      <c r="L156" s="40"/>
      <c r="M156" s="40"/>
      <c r="N156" s="40"/>
      <c r="O156" s="40"/>
      <c r="P156" s="40"/>
      <c r="Q156" s="40"/>
      <c r="R156" s="40"/>
      <c r="S156" s="40"/>
      <c r="T156" s="40"/>
      <c r="U156" s="40"/>
      <c r="V156" s="40"/>
      <c r="W156" s="40"/>
      <c r="X156" s="40"/>
      <c r="Y156" s="40"/>
      <c r="Z156" s="40"/>
      <c r="AA156" s="40"/>
      <c r="AB156" s="40"/>
    </row>
    <row r="157">
      <c r="A157" s="51" t="s">
        <v>77</v>
      </c>
      <c r="B157" s="74">
        <f t="shared" ref="B157:H157" si="121">B156/SUM($B$156:$G$156)</f>
        <v>0.2225935765</v>
      </c>
      <c r="C157" s="74">
        <f t="shared" si="121"/>
        <v>0.1798253651</v>
      </c>
      <c r="D157" s="74">
        <f t="shared" si="121"/>
        <v>0.3894374491</v>
      </c>
      <c r="E157" s="74">
        <f t="shared" si="121"/>
        <v>0.1210807825</v>
      </c>
      <c r="F157" s="74">
        <f t="shared" si="121"/>
        <v>0.005994152203</v>
      </c>
      <c r="G157" s="74">
        <f t="shared" si="121"/>
        <v>0.0810686746</v>
      </c>
      <c r="H157" s="74">
        <f t="shared" si="121"/>
        <v>1</v>
      </c>
      <c r="I157" s="40"/>
      <c r="J157" s="40"/>
      <c r="K157" s="40"/>
      <c r="L157" s="40"/>
      <c r="M157" s="40"/>
      <c r="N157" s="40"/>
      <c r="O157" s="40"/>
      <c r="P157" s="40"/>
      <c r="Q157" s="40"/>
      <c r="R157" s="40"/>
      <c r="S157" s="40"/>
      <c r="T157" s="40"/>
      <c r="U157" s="40"/>
      <c r="V157" s="40"/>
      <c r="W157" s="40"/>
      <c r="X157" s="40"/>
      <c r="Y157" s="40"/>
      <c r="Z157" s="40"/>
      <c r="AA157" s="40"/>
      <c r="AB157" s="40"/>
    </row>
    <row r="158">
      <c r="A158" s="51" t="s">
        <v>21</v>
      </c>
      <c r="B158" s="69">
        <f t="shared" ref="B158:B159" si="122">G27</f>
        <v>194</v>
      </c>
      <c r="C158" s="69">
        <f t="shared" ref="C158:C159" si="123">G44</f>
        <v>847</v>
      </c>
      <c r="D158" s="69">
        <f t="shared" ref="D158:D159" si="124">G61</f>
        <v>778</v>
      </c>
      <c r="E158" s="69">
        <f t="shared" ref="E158:E159" si="125">G78</f>
        <v>220</v>
      </c>
      <c r="F158" s="69">
        <f t="shared" ref="F158:F159" si="126">G108</f>
        <v>22</v>
      </c>
      <c r="G158" s="69">
        <f t="shared" ref="G158:G159" si="127">G125</f>
        <v>1</v>
      </c>
      <c r="H158" s="69">
        <f>SUM(B158:G158)</f>
        <v>2062</v>
      </c>
      <c r="I158" s="40"/>
      <c r="J158" s="40"/>
      <c r="K158" s="40"/>
      <c r="L158" s="40"/>
      <c r="M158" s="40"/>
      <c r="N158" s="40"/>
      <c r="O158" s="40"/>
      <c r="P158" s="40"/>
      <c r="Q158" s="40"/>
      <c r="R158" s="40"/>
      <c r="S158" s="40"/>
      <c r="T158" s="40"/>
      <c r="U158" s="40"/>
      <c r="V158" s="40"/>
      <c r="W158" s="40"/>
      <c r="X158" s="40"/>
      <c r="Y158" s="40"/>
      <c r="Z158" s="40"/>
      <c r="AA158" s="40"/>
      <c r="AB158" s="40"/>
    </row>
    <row r="159">
      <c r="A159" s="51" t="s">
        <v>22</v>
      </c>
      <c r="B159" s="90">
        <f t="shared" si="122"/>
        <v>8615.92268</v>
      </c>
      <c r="C159" s="90">
        <f t="shared" si="123"/>
        <v>1594.257379</v>
      </c>
      <c r="D159" s="90">
        <f t="shared" si="124"/>
        <v>3758.798201</v>
      </c>
      <c r="E159" s="90">
        <f t="shared" si="125"/>
        <v>4132.790909</v>
      </c>
      <c r="F159" s="90">
        <f t="shared" si="126"/>
        <v>2045.954545</v>
      </c>
      <c r="G159" s="90">
        <f t="shared" si="127"/>
        <v>608757</v>
      </c>
      <c r="H159" s="90">
        <f>H156/H158</f>
        <v>3641.683802</v>
      </c>
      <c r="I159" s="40"/>
      <c r="J159" s="40"/>
      <c r="K159" s="40"/>
      <c r="L159" s="40"/>
      <c r="M159" s="40"/>
      <c r="N159" s="40"/>
      <c r="O159" s="40"/>
      <c r="P159" s="40"/>
      <c r="Q159" s="40"/>
      <c r="R159" s="40"/>
      <c r="S159" s="40"/>
      <c r="T159" s="40"/>
      <c r="U159" s="40"/>
      <c r="V159" s="40"/>
      <c r="W159" s="40"/>
      <c r="X159" s="40"/>
      <c r="Y159" s="40"/>
      <c r="Z159" s="40"/>
      <c r="AA159" s="40"/>
      <c r="AB159" s="40"/>
    </row>
    <row r="160">
      <c r="A160" s="51" t="s">
        <v>24</v>
      </c>
      <c r="B160" s="69">
        <f t="shared" ref="B160:B161" si="128">G30</f>
        <v>17</v>
      </c>
      <c r="C160" s="69">
        <f t="shared" ref="C160:C161" si="129">G47</f>
        <v>10</v>
      </c>
      <c r="D160" s="69">
        <f t="shared" ref="D160:D161" si="130">G64</f>
        <v>67</v>
      </c>
      <c r="E160" s="69">
        <f t="shared" ref="E160:E161" si="131">G81</f>
        <v>13</v>
      </c>
      <c r="F160" s="69">
        <f t="shared" ref="F160:F161" si="132">G111</f>
        <v>0</v>
      </c>
      <c r="G160" s="69">
        <f t="shared" ref="G160:G161" si="133">G128</f>
        <v>1</v>
      </c>
      <c r="H160" s="69">
        <f>SUM(B160:G160)</f>
        <v>108</v>
      </c>
      <c r="I160" s="40"/>
      <c r="J160" s="40"/>
      <c r="K160" s="40"/>
      <c r="L160" s="40"/>
      <c r="M160" s="40"/>
      <c r="N160" s="40"/>
      <c r="O160" s="40"/>
      <c r="P160" s="40"/>
      <c r="Q160" s="40"/>
      <c r="R160" s="40"/>
      <c r="S160" s="40"/>
      <c r="T160" s="40"/>
      <c r="U160" s="40"/>
      <c r="V160" s="40"/>
      <c r="W160" s="40"/>
      <c r="X160" s="40"/>
      <c r="Y160" s="40"/>
      <c r="Z160" s="40"/>
      <c r="AA160" s="40"/>
      <c r="AB160" s="40"/>
    </row>
    <row r="161">
      <c r="A161" s="51" t="s">
        <v>25</v>
      </c>
      <c r="B161" s="90">
        <f t="shared" si="128"/>
        <v>98322.88235</v>
      </c>
      <c r="C161" s="90">
        <f t="shared" si="129"/>
        <v>135033.6</v>
      </c>
      <c r="D161" s="90">
        <f t="shared" si="130"/>
        <v>43646.9403</v>
      </c>
      <c r="E161" s="90">
        <f t="shared" si="131"/>
        <v>69939.53846</v>
      </c>
      <c r="F161" s="69" t="str">
        <f t="shared" si="132"/>
        <v>#DIV/0!</v>
      </c>
      <c r="G161" s="90">
        <f t="shared" si="133"/>
        <v>608757</v>
      </c>
      <c r="H161" s="90">
        <f>H156/H160</f>
        <v>69529.18519</v>
      </c>
      <c r="I161" s="40"/>
      <c r="J161" s="40"/>
      <c r="K161" s="40"/>
      <c r="L161" s="40"/>
      <c r="M161" s="40"/>
      <c r="N161" s="40"/>
      <c r="O161" s="40"/>
      <c r="P161" s="40"/>
      <c r="Q161" s="40"/>
      <c r="R161" s="40"/>
      <c r="S161" s="40"/>
      <c r="T161" s="40"/>
      <c r="U161" s="40"/>
      <c r="V161" s="40"/>
      <c r="W161" s="40"/>
      <c r="X161" s="40"/>
      <c r="Y161" s="40"/>
      <c r="Z161" s="40"/>
      <c r="AA161" s="40"/>
      <c r="AB161" s="40"/>
    </row>
    <row r="162">
      <c r="A162" s="51" t="s">
        <v>27</v>
      </c>
      <c r="B162" s="74">
        <f>G33</f>
        <v>0.08762886598</v>
      </c>
      <c r="C162" s="74">
        <f t="shared" ref="C162:C163" si="135">G50</f>
        <v>0.01180637544</v>
      </c>
      <c r="D162" s="74">
        <f t="shared" ref="D162:D163" si="136">G67</f>
        <v>0.08611825193</v>
      </c>
      <c r="E162" s="74">
        <f t="shared" ref="E162:E164" si="137">G84</f>
        <v>0.05909090909</v>
      </c>
      <c r="F162" s="74">
        <f t="shared" ref="F162:F164" si="138">G114</f>
        <v>0</v>
      </c>
      <c r="G162" s="74">
        <f t="shared" ref="G162:H162" si="134">G131</f>
        <v>1</v>
      </c>
      <c r="H162" s="74">
        <f t="shared" si="134"/>
        <v>0.06</v>
      </c>
      <c r="I162" s="40"/>
      <c r="J162" s="40"/>
      <c r="K162" s="40"/>
      <c r="L162" s="40"/>
      <c r="M162" s="40"/>
      <c r="N162" s="40"/>
      <c r="O162" s="40"/>
      <c r="P162" s="40"/>
      <c r="Q162" s="40"/>
      <c r="R162" s="40"/>
      <c r="S162" s="40"/>
      <c r="T162" s="40"/>
      <c r="U162" s="40"/>
      <c r="V162" s="40"/>
      <c r="W162" s="40"/>
      <c r="X162" s="40"/>
      <c r="Y162" s="40"/>
      <c r="Z162" s="40"/>
      <c r="AA162" s="40"/>
      <c r="AB162" s="40"/>
    </row>
    <row r="163">
      <c r="A163" s="51" t="s">
        <v>28</v>
      </c>
      <c r="B163" s="69"/>
      <c r="C163" s="69">
        <f t="shared" si="135"/>
        <v>1</v>
      </c>
      <c r="D163" s="69">
        <f t="shared" si="136"/>
        <v>0</v>
      </c>
      <c r="E163" s="69">
        <f t="shared" si="137"/>
        <v>0</v>
      </c>
      <c r="F163" s="69">
        <f t="shared" si="138"/>
        <v>0</v>
      </c>
      <c r="G163" s="69">
        <f t="shared" ref="G163:H163" si="139">G132</f>
        <v>0</v>
      </c>
      <c r="H163" s="69" t="str">
        <f t="shared" si="139"/>
        <v/>
      </c>
      <c r="I163" s="40"/>
      <c r="J163" s="40"/>
      <c r="K163" s="40"/>
      <c r="L163" s="40"/>
      <c r="M163" s="40"/>
      <c r="N163" s="40"/>
      <c r="O163" s="40"/>
      <c r="P163" s="40"/>
      <c r="Q163" s="40"/>
      <c r="R163" s="40"/>
      <c r="S163" s="40"/>
      <c r="T163" s="40"/>
      <c r="U163" s="40"/>
      <c r="V163" s="40"/>
      <c r="W163" s="40"/>
      <c r="X163" s="40"/>
      <c r="Y163" s="40"/>
      <c r="Z163" s="40"/>
      <c r="AA163" s="40"/>
      <c r="AB163" s="40"/>
    </row>
    <row r="164">
      <c r="A164" s="51" t="s">
        <v>29</v>
      </c>
      <c r="B164" s="69" t="str">
        <f>G35</f>
        <v/>
      </c>
      <c r="C164" s="69"/>
      <c r="D164" s="69"/>
      <c r="E164" s="69" t="str">
        <f t="shared" si="137"/>
        <v/>
      </c>
      <c r="F164" s="69" t="str">
        <f t="shared" si="138"/>
        <v/>
      </c>
      <c r="G164" s="69" t="str">
        <f t="shared" ref="G164:H164" si="140">G133</f>
        <v/>
      </c>
      <c r="H164" s="69" t="str">
        <f t="shared" si="140"/>
        <v/>
      </c>
      <c r="I164" s="40"/>
      <c r="J164" s="40"/>
      <c r="K164" s="40"/>
      <c r="L164" s="40"/>
      <c r="M164" s="40"/>
      <c r="N164" s="40"/>
      <c r="O164" s="40"/>
      <c r="P164" s="40"/>
      <c r="Q164" s="40"/>
      <c r="R164" s="40"/>
      <c r="S164" s="40"/>
      <c r="T164" s="40"/>
      <c r="U164" s="40"/>
      <c r="V164" s="40"/>
      <c r="W164" s="40"/>
      <c r="X164" s="40"/>
      <c r="Y164" s="40"/>
      <c r="Z164" s="40"/>
      <c r="AA164" s="40"/>
      <c r="AB164" s="40"/>
    </row>
    <row r="165">
      <c r="A165" s="51" t="s">
        <v>32</v>
      </c>
      <c r="B165" s="69" t="str">
        <f>G37</f>
        <v/>
      </c>
      <c r="C165" s="69"/>
      <c r="D165" s="69"/>
      <c r="E165" s="69" t="str">
        <f>G88</f>
        <v/>
      </c>
      <c r="F165" s="69" t="str">
        <f>G118</f>
        <v/>
      </c>
      <c r="G165" s="69" t="str">
        <f t="shared" ref="G165:H165" si="141">G135</f>
        <v/>
      </c>
      <c r="H165" s="69" t="str">
        <f t="shared" si="141"/>
        <v/>
      </c>
      <c r="I165" s="40"/>
      <c r="J165" s="40"/>
      <c r="K165" s="40"/>
      <c r="L165" s="40"/>
      <c r="M165" s="40"/>
      <c r="N165" s="40"/>
      <c r="O165" s="40"/>
      <c r="P165" s="40"/>
      <c r="Q165" s="40"/>
      <c r="R165" s="40"/>
      <c r="S165" s="40"/>
      <c r="T165" s="40"/>
      <c r="U165" s="40"/>
      <c r="V165" s="40"/>
      <c r="W165" s="40"/>
      <c r="X165" s="40"/>
      <c r="Y165" s="40"/>
      <c r="Z165" s="40"/>
      <c r="AA165" s="40"/>
      <c r="AB165" s="40"/>
    </row>
    <row r="166">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row>
    <row r="167">
      <c r="A167" s="116" t="s">
        <v>95</v>
      </c>
      <c r="B167" s="101" t="s">
        <v>54</v>
      </c>
      <c r="C167" s="101" t="s">
        <v>55</v>
      </c>
      <c r="D167" s="101" t="s">
        <v>56</v>
      </c>
      <c r="E167" s="101" t="s">
        <v>74</v>
      </c>
      <c r="F167" s="101" t="s">
        <v>94</v>
      </c>
      <c r="G167" s="101" t="s">
        <v>76</v>
      </c>
      <c r="H167" s="101" t="s">
        <v>1</v>
      </c>
      <c r="I167" s="40"/>
      <c r="J167" s="40"/>
      <c r="K167" s="40"/>
      <c r="L167" s="40"/>
      <c r="M167" s="40"/>
      <c r="N167" s="40"/>
      <c r="O167" s="40"/>
      <c r="P167" s="40"/>
      <c r="Q167" s="40"/>
      <c r="R167" s="40"/>
      <c r="S167" s="40"/>
      <c r="T167" s="40"/>
      <c r="U167" s="40"/>
      <c r="V167" s="40"/>
      <c r="W167" s="40"/>
      <c r="X167" s="40"/>
      <c r="Y167" s="40"/>
      <c r="Z167" s="40"/>
      <c r="AA167" s="40"/>
      <c r="AB167" s="40"/>
    </row>
    <row r="168">
      <c r="A168" s="103" t="s">
        <v>79</v>
      </c>
      <c r="B168" s="106">
        <v>60000.0</v>
      </c>
      <c r="C168" s="106">
        <v>40000.0</v>
      </c>
      <c r="D168" s="106">
        <v>120000.0</v>
      </c>
      <c r="E168" s="106">
        <v>40000.0</v>
      </c>
      <c r="F168" s="106">
        <v>0.0</v>
      </c>
      <c r="G168" s="106">
        <v>25000.0</v>
      </c>
      <c r="H168" s="105">
        <f t="shared" ref="H168:H169" si="143">SUM(B168:G168)</f>
        <v>285000</v>
      </c>
      <c r="I168" s="40"/>
      <c r="J168" s="40"/>
      <c r="K168" s="40"/>
      <c r="L168" s="40"/>
      <c r="M168" s="40"/>
      <c r="N168" s="40"/>
      <c r="O168" s="40"/>
      <c r="P168" s="40"/>
      <c r="Q168" s="40"/>
      <c r="R168" s="40"/>
      <c r="S168" s="40"/>
      <c r="T168" s="40"/>
      <c r="U168" s="40"/>
      <c r="V168" s="40"/>
      <c r="W168" s="40"/>
      <c r="X168" s="40"/>
      <c r="Y168" s="40"/>
      <c r="Z168" s="40"/>
      <c r="AA168" s="40"/>
      <c r="AB168" s="40"/>
    </row>
    <row r="169">
      <c r="A169" s="103" t="s">
        <v>19</v>
      </c>
      <c r="B169" s="106">
        <f t="shared" ref="B169:G169" si="142">B168*30</f>
        <v>1800000</v>
      </c>
      <c r="C169" s="106">
        <f t="shared" si="142"/>
        <v>1200000</v>
      </c>
      <c r="D169" s="106">
        <f t="shared" si="142"/>
        <v>3600000</v>
      </c>
      <c r="E169" s="106">
        <f t="shared" si="142"/>
        <v>1200000</v>
      </c>
      <c r="F169" s="106">
        <f t="shared" si="142"/>
        <v>0</v>
      </c>
      <c r="G169" s="106">
        <f t="shared" si="142"/>
        <v>750000</v>
      </c>
      <c r="H169" s="105">
        <f t="shared" si="143"/>
        <v>8550000</v>
      </c>
      <c r="I169" s="40"/>
      <c r="J169" s="40"/>
      <c r="K169" s="40"/>
      <c r="L169" s="40"/>
      <c r="M169" s="40"/>
      <c r="N169" s="40"/>
      <c r="O169" s="40"/>
      <c r="P169" s="40"/>
      <c r="Q169" s="40"/>
      <c r="R169" s="40"/>
      <c r="S169" s="40"/>
      <c r="T169" s="40"/>
      <c r="U169" s="40"/>
      <c r="V169" s="40"/>
      <c r="W169" s="40"/>
      <c r="X169" s="40"/>
      <c r="Y169" s="40"/>
      <c r="Z169" s="40"/>
      <c r="AA169" s="40"/>
      <c r="AB169" s="40"/>
    </row>
    <row r="170">
      <c r="A170" s="103" t="s">
        <v>80</v>
      </c>
      <c r="B170" s="107">
        <f t="shared" ref="B170:H170" si="144">B169/$H$33</f>
        <v>13846153.85</v>
      </c>
      <c r="C170" s="107">
        <f t="shared" si="144"/>
        <v>9230769.231</v>
      </c>
      <c r="D170" s="107">
        <f t="shared" si="144"/>
        <v>27692307.69</v>
      </c>
      <c r="E170" s="107">
        <f t="shared" si="144"/>
        <v>9230769.231</v>
      </c>
      <c r="F170" s="107">
        <f t="shared" si="144"/>
        <v>0</v>
      </c>
      <c r="G170" s="107">
        <f t="shared" si="144"/>
        <v>5769230.769</v>
      </c>
      <c r="H170" s="108">
        <f t="shared" si="144"/>
        <v>65769230.77</v>
      </c>
      <c r="I170" s="40"/>
      <c r="J170" s="40"/>
      <c r="K170" s="40"/>
      <c r="L170" s="40"/>
      <c r="M170" s="40"/>
      <c r="N170" s="40"/>
      <c r="O170" s="40"/>
      <c r="P170" s="40"/>
      <c r="Q170" s="40"/>
      <c r="R170" s="40"/>
      <c r="S170" s="40"/>
      <c r="T170" s="40"/>
      <c r="U170" s="40"/>
      <c r="V170" s="40"/>
      <c r="W170" s="40"/>
      <c r="X170" s="40"/>
      <c r="Y170" s="40"/>
      <c r="Z170" s="40"/>
      <c r="AA170" s="40"/>
      <c r="AB170" s="40"/>
    </row>
    <row r="171">
      <c r="A171" s="103" t="s">
        <v>22</v>
      </c>
      <c r="B171" s="106">
        <v>7000.0</v>
      </c>
      <c r="C171" s="106">
        <v>5500.0</v>
      </c>
      <c r="D171" s="106">
        <v>5000.0</v>
      </c>
      <c r="E171" s="106">
        <v>3500.0</v>
      </c>
      <c r="F171" s="106">
        <v>0.0</v>
      </c>
      <c r="G171" s="106">
        <v>8000.0</v>
      </c>
      <c r="H171" s="109">
        <f>H169/H172</f>
        <v>5239.189471</v>
      </c>
      <c r="I171" s="40"/>
      <c r="J171" s="40"/>
      <c r="K171" s="40"/>
      <c r="L171" s="40"/>
      <c r="M171" s="40"/>
      <c r="N171" s="40"/>
      <c r="O171" s="40"/>
      <c r="P171" s="40"/>
      <c r="Q171" s="40"/>
      <c r="R171" s="40"/>
      <c r="S171" s="40"/>
      <c r="T171" s="40"/>
      <c r="U171" s="40"/>
      <c r="V171" s="40"/>
      <c r="W171" s="40"/>
      <c r="X171" s="40"/>
      <c r="Y171" s="40"/>
      <c r="Z171" s="40"/>
      <c r="AA171" s="40"/>
      <c r="AB171" s="40"/>
    </row>
    <row r="172">
      <c r="A172" s="103" t="s">
        <v>21</v>
      </c>
      <c r="B172" s="110">
        <f t="shared" ref="B172:E172" si="145">B169/B171</f>
        <v>257.1428571</v>
      </c>
      <c r="C172" s="110">
        <f t="shared" si="145"/>
        <v>218.1818182</v>
      </c>
      <c r="D172" s="110">
        <f t="shared" si="145"/>
        <v>720</v>
      </c>
      <c r="E172" s="110">
        <f t="shared" si="145"/>
        <v>342.8571429</v>
      </c>
      <c r="F172" s="110">
        <v>0.0</v>
      </c>
      <c r="G172" s="110">
        <f>G169/G171</f>
        <v>93.75</v>
      </c>
      <c r="H172" s="112">
        <f>SUM(B172:G172)</f>
        <v>1631.931818</v>
      </c>
      <c r="I172" s="40"/>
      <c r="J172" s="40"/>
      <c r="K172" s="40"/>
      <c r="L172" s="40"/>
      <c r="M172" s="40"/>
      <c r="N172" s="40"/>
      <c r="O172" s="40"/>
      <c r="P172" s="40"/>
      <c r="Q172" s="40"/>
      <c r="R172" s="40"/>
      <c r="S172" s="40"/>
      <c r="T172" s="40"/>
      <c r="U172" s="40"/>
      <c r="V172" s="40"/>
      <c r="W172" s="40"/>
      <c r="X172" s="40"/>
      <c r="Y172" s="40"/>
      <c r="Z172" s="40"/>
      <c r="AA172" s="40"/>
      <c r="AB172" s="40"/>
    </row>
    <row r="173">
      <c r="A173" s="103" t="s">
        <v>27</v>
      </c>
      <c r="B173" s="117">
        <v>0.13</v>
      </c>
      <c r="C173" s="117">
        <v>0.065</v>
      </c>
      <c r="D173" s="117">
        <v>0.09</v>
      </c>
      <c r="E173" s="117">
        <v>0.115</v>
      </c>
      <c r="F173" s="117">
        <v>0.0</v>
      </c>
      <c r="G173" s="117">
        <v>0.06</v>
      </c>
      <c r="H173" s="108">
        <f>H174/H172</f>
        <v>0.09648930138</v>
      </c>
      <c r="I173" s="40"/>
      <c r="J173" s="40"/>
      <c r="K173" s="40"/>
      <c r="L173" s="40"/>
      <c r="M173" s="40"/>
      <c r="N173" s="40"/>
      <c r="O173" s="40"/>
      <c r="P173" s="40"/>
      <c r="Q173" s="40"/>
      <c r="R173" s="40"/>
      <c r="S173" s="40"/>
      <c r="T173" s="40"/>
      <c r="U173" s="40"/>
      <c r="V173" s="40"/>
      <c r="W173" s="40"/>
      <c r="X173" s="40"/>
      <c r="Y173" s="40"/>
      <c r="Z173" s="40"/>
      <c r="AA173" s="40"/>
      <c r="AB173" s="40"/>
    </row>
    <row r="174">
      <c r="A174" s="103" t="s">
        <v>24</v>
      </c>
      <c r="B174" s="110">
        <f t="shared" ref="B174:E174" si="146">B172*B173</f>
        <v>33.42857143</v>
      </c>
      <c r="C174" s="110">
        <f t="shared" si="146"/>
        <v>14.18181818</v>
      </c>
      <c r="D174" s="110">
        <f t="shared" si="146"/>
        <v>64.8</v>
      </c>
      <c r="E174" s="110">
        <f t="shared" si="146"/>
        <v>39.42857143</v>
      </c>
      <c r="F174" s="110">
        <v>0.0</v>
      </c>
      <c r="G174" s="110">
        <f>G172*G173</f>
        <v>5.625</v>
      </c>
      <c r="H174" s="112">
        <f>SUM(B174:G174)</f>
        <v>157.463961</v>
      </c>
      <c r="I174" s="40"/>
      <c r="J174" s="40"/>
      <c r="K174" s="40"/>
      <c r="L174" s="40"/>
      <c r="M174" s="40"/>
      <c r="N174" s="40"/>
      <c r="O174" s="40"/>
      <c r="P174" s="40"/>
      <c r="Q174" s="40"/>
      <c r="R174" s="40"/>
      <c r="S174" s="40"/>
      <c r="T174" s="40"/>
      <c r="U174" s="40"/>
      <c r="V174" s="40"/>
      <c r="W174" s="40"/>
      <c r="X174" s="40"/>
      <c r="Y174" s="40"/>
      <c r="Z174" s="40"/>
      <c r="AA174" s="40"/>
      <c r="AB174" s="40"/>
    </row>
    <row r="175">
      <c r="A175" s="103" t="s">
        <v>25</v>
      </c>
      <c r="B175" s="106">
        <f t="shared" ref="B175:E175" si="147">B169/B174</f>
        <v>53846.15385</v>
      </c>
      <c r="C175" s="106">
        <f t="shared" si="147"/>
        <v>84615.38462</v>
      </c>
      <c r="D175" s="106">
        <f t="shared" si="147"/>
        <v>55555.55556</v>
      </c>
      <c r="E175" s="106">
        <f t="shared" si="147"/>
        <v>30434.78261</v>
      </c>
      <c r="F175" s="106">
        <v>0.0</v>
      </c>
      <c r="G175" s="106">
        <f t="shared" ref="G175:H175" si="148">G169/G174</f>
        <v>133333.3333</v>
      </c>
      <c r="H175" s="105">
        <f t="shared" si="148"/>
        <v>54298.13872</v>
      </c>
      <c r="I175" s="40"/>
      <c r="J175" s="40"/>
      <c r="K175" s="40"/>
      <c r="L175" s="40"/>
      <c r="M175" s="40"/>
      <c r="N175" s="40"/>
      <c r="O175" s="40"/>
      <c r="P175" s="40"/>
      <c r="Q175" s="40"/>
      <c r="R175" s="40"/>
      <c r="S175" s="40"/>
      <c r="T175" s="40"/>
      <c r="U175" s="40"/>
      <c r="V175" s="40"/>
      <c r="W175" s="40"/>
      <c r="X175" s="40"/>
      <c r="Y175" s="40"/>
      <c r="Z175" s="40"/>
      <c r="AA175" s="40"/>
      <c r="AB175" s="40"/>
    </row>
    <row r="176">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row>
    <row r="177">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row>
    <row r="178">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row>
    <row r="179">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row>
    <row r="180">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row>
    <row r="18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row>
    <row r="182">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row>
    <row r="183">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row>
    <row r="184">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row>
    <row r="18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row>
    <row r="186">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row>
    <row r="187">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row>
    <row r="188">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row>
    <row r="189">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row>
    <row r="190">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row>
    <row r="19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row>
    <row r="192">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row>
    <row r="193">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row>
    <row r="194">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row>
    <row r="19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row>
    <row r="196">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row>
    <row r="197">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row>
    <row r="198">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row>
    <row r="199">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row>
    <row r="200">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row>
    <row r="20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row>
    <row r="202">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row>
    <row r="203">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row>
    <row r="204">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row>
    <row r="20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row>
    <row r="206">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row>
    <row r="207">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row>
    <row r="208">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row>
    <row r="209">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row>
    <row r="210">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row>
    <row r="21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row>
    <row r="212">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row>
    <row r="213">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row>
    <row r="214">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row>
    <row r="21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row>
    <row r="216">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row>
    <row r="217">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row>
    <row r="218">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row>
    <row r="219">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row>
    <row r="220">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row>
    <row r="22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row>
    <row r="222">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row>
    <row r="223">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row>
    <row r="224">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row>
    <row r="22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row>
    <row r="226">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row>
    <row r="227">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row>
    <row r="228">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row>
    <row r="229">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row>
    <row r="230">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row>
    <row r="23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row>
    <row r="232">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row>
    <row r="233">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row>
    <row r="234">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row>
    <row r="23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row>
    <row r="236">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row>
    <row r="237">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row>
    <row r="238">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row>
    <row r="239">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row>
    <row r="240">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row>
    <row r="24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row>
    <row r="242">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row>
    <row r="243">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row>
    <row r="244">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row>
    <row r="24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row>
    <row r="246">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row>
    <row r="247">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row>
    <row r="248">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row>
    <row r="249">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row>
    <row r="250">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row>
    <row r="25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row>
    <row r="252">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row>
    <row r="253">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row>
    <row r="254">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row>
    <row r="2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row>
    <row r="256">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row>
    <row r="257">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row>
    <row r="258">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row>
    <row r="259">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row>
    <row r="260">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row>
    <row r="261">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row>
    <row r="262">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row>
    <row r="263">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row>
    <row r="264">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row>
    <row r="26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row>
    <row r="266">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row>
    <row r="267">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row>
    <row r="268">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row>
    <row r="269">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row>
    <row r="270">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row>
    <row r="271">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row>
    <row r="272">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row>
    <row r="273">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row>
    <row r="274">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row>
    <row r="27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row>
    <row r="276">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row>
    <row r="277">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row>
    <row r="278">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row>
    <row r="279">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row>
    <row r="280">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row>
    <row r="281">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row>
    <row r="282">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row>
    <row r="283">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row>
    <row r="284">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row>
    <row r="28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row>
    <row r="286">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row>
    <row r="287">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row>
    <row r="288">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row>
    <row r="289">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row>
    <row r="290">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row>
    <row r="291">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row>
    <row r="292">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row>
    <row r="293">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row>
    <row r="294">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row>
    <row r="29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row>
    <row r="296">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row>
    <row r="297">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row>
    <row r="298">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row>
    <row r="299">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row>
    <row r="300">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row>
    <row r="301">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row>
    <row r="302">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row>
    <row r="303">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row>
    <row r="304">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row>
    <row r="30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row>
    <row r="306">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row>
    <row r="307">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row>
    <row r="308">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row>
    <row r="309">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row>
    <row r="310">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row>
    <row r="311">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row>
    <row r="312">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row>
    <row r="313">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row>
    <row r="314">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row>
    <row r="31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row>
    <row r="316">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row>
    <row r="317">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row>
    <row r="318">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row>
    <row r="319">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row>
    <row r="320">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row>
    <row r="321">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row>
    <row r="322">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row>
    <row r="323">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row>
    <row r="324">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row>
    <row r="32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row>
    <row r="326">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row>
    <row r="327">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row>
    <row r="328">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row>
    <row r="329">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row>
    <row r="330">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row>
    <row r="331">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row>
    <row r="332">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row>
    <row r="333">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row>
    <row r="334">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row>
    <row r="33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row>
    <row r="336">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row>
    <row r="337">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row>
    <row r="338">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row>
    <row r="339">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row>
    <row r="340">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row>
    <row r="341">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row>
    <row r="342">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row>
    <row r="343">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row>
    <row r="344">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row>
    <row r="34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row>
    <row r="346">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row>
    <row r="347">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row>
    <row r="348">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row>
    <row r="349">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row>
    <row r="350">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row>
    <row r="351">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row>
    <row r="352">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row>
    <row r="353">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row>
    <row r="354">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row>
    <row r="3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row>
    <row r="356">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row>
    <row r="357">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row>
    <row r="358">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row>
    <row r="359">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row>
    <row r="360">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row>
    <row r="361">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row>
    <row r="362">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row>
    <row r="363">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row>
    <row r="364">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row>
    <row r="36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row>
    <row r="366">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row>
    <row r="367">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row>
    <row r="368">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row>
    <row r="369">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row>
    <row r="370">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row>
    <row r="371">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row>
    <row r="372">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row>
    <row r="373">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row>
    <row r="374">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row>
    <row r="37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row>
    <row r="376">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row>
    <row r="377">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row>
    <row r="378">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row>
    <row r="379">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row>
    <row r="380">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row>
    <row r="381">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row>
    <row r="382">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row>
    <row r="383">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row>
    <row r="384">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row>
    <row r="38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row>
    <row r="386">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row>
    <row r="387">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row>
    <row r="388">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row>
    <row r="389">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row>
    <row r="390">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row>
    <row r="391">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row>
    <row r="392">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row>
    <row r="393">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row>
    <row r="394">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row>
    <row r="39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row>
    <row r="396">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row>
    <row r="397">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row>
    <row r="398">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row>
    <row r="399">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row>
    <row r="400">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row>
    <row r="401">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row>
    <row r="402">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row>
    <row r="403">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row>
    <row r="404">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row>
    <row r="40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row>
    <row r="406">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row>
    <row r="407">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row>
    <row r="408">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row>
    <row r="409">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row>
    <row r="410">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row>
    <row r="411">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row>
    <row r="412">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row>
    <row r="413">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row>
    <row r="414">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row>
    <row r="41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row>
    <row r="416">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row>
    <row r="417">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row>
    <row r="418">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row>
    <row r="419">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row>
    <row r="420">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row>
    <row r="421">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row>
    <row r="422">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row>
    <row r="423">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row>
    <row r="424">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row>
    <row r="42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row>
    <row r="426">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row>
    <row r="427">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row>
    <row r="428">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row>
    <row r="429">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row>
    <row r="430">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row>
    <row r="431">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row>
    <row r="432">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row>
    <row r="433">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row>
    <row r="434">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row>
    <row r="43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row>
    <row r="436">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row>
    <row r="437">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row>
    <row r="438">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row>
    <row r="439">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row>
    <row r="440">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row>
    <row r="441">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row>
    <row r="442">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row>
    <row r="443">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row>
    <row r="444">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row>
    <row r="44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row>
    <row r="446">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row>
    <row r="447">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row>
    <row r="448">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row>
    <row r="449">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row>
    <row r="450">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row>
    <row r="451">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row>
    <row r="452">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row>
    <row r="453">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row>
    <row r="454">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row>
    <row r="4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row>
    <row r="456">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row>
    <row r="457">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row>
    <row r="458">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row>
    <row r="459">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row>
    <row r="460">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row>
    <row r="461">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row>
    <row r="462">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row>
    <row r="463">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row>
    <row r="464">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row>
    <row r="46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row>
    <row r="466">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row>
    <row r="467">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row>
    <row r="468">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row>
    <row r="469">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row>
    <row r="470">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row>
    <row r="471">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row>
    <row r="472">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row>
    <row r="473">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row>
    <row r="474">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row>
    <row r="47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row>
    <row r="476">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row>
    <row r="477">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row>
    <row r="478">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row>
    <row r="479">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row>
    <row r="480">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row>
    <row r="481">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c r="AA481" s="40"/>
      <c r="AB481" s="40"/>
    </row>
    <row r="482">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c r="AA482" s="40"/>
      <c r="AB482" s="40"/>
    </row>
    <row r="483">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c r="AA483" s="40"/>
      <c r="AB483" s="40"/>
    </row>
    <row r="484">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c r="AA484" s="40"/>
      <c r="AB484" s="40"/>
    </row>
    <row r="485">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c r="AA485" s="40"/>
      <c r="AB485" s="40"/>
    </row>
    <row r="486">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c r="AA486" s="40"/>
      <c r="AB486" s="40"/>
    </row>
    <row r="487">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c r="AA487" s="40"/>
      <c r="AB487" s="40"/>
    </row>
    <row r="488">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c r="AA488" s="40"/>
      <c r="AB488" s="40"/>
    </row>
    <row r="489">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c r="AA489" s="40"/>
      <c r="AB489" s="40"/>
    </row>
    <row r="490">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c r="AA490" s="40"/>
      <c r="AB490" s="40"/>
    </row>
    <row r="491">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c r="AA491" s="40"/>
      <c r="AB491" s="40"/>
    </row>
    <row r="492">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c r="AA492" s="40"/>
      <c r="AB492" s="40"/>
    </row>
    <row r="493">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c r="AA493" s="40"/>
      <c r="AB493" s="40"/>
    </row>
    <row r="494">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c r="AA494" s="40"/>
      <c r="AB494" s="40"/>
    </row>
    <row r="495">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c r="AA495" s="40"/>
      <c r="AB495" s="40"/>
    </row>
    <row r="496">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c r="AA496" s="40"/>
      <c r="AB496" s="40"/>
    </row>
    <row r="497">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c r="AA497" s="40"/>
      <c r="AB497" s="40"/>
    </row>
    <row r="498">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c r="AA498" s="40"/>
      <c r="AB498" s="40"/>
    </row>
    <row r="499">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c r="AA499" s="40"/>
      <c r="AB499" s="40"/>
    </row>
    <row r="500">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c r="AA500" s="40"/>
      <c r="AB500" s="40"/>
    </row>
    <row r="501">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c r="AA501" s="40"/>
      <c r="AB501" s="40"/>
    </row>
    <row r="502">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c r="AA502" s="40"/>
      <c r="AB502" s="40"/>
    </row>
    <row r="503">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c r="AA503" s="40"/>
      <c r="AB503" s="40"/>
    </row>
    <row r="504">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c r="AA504" s="40"/>
      <c r="AB504" s="40"/>
    </row>
    <row r="505">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c r="AA505" s="40"/>
      <c r="AB505" s="40"/>
    </row>
    <row r="506">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c r="AA506" s="40"/>
      <c r="AB506" s="40"/>
    </row>
    <row r="507">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c r="AA507" s="40"/>
      <c r="AB507" s="40"/>
    </row>
    <row r="508">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c r="AA508" s="40"/>
      <c r="AB508" s="40"/>
    </row>
    <row r="509">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c r="AA509" s="40"/>
      <c r="AB509" s="40"/>
    </row>
    <row r="510">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c r="AA510" s="40"/>
      <c r="AB510" s="40"/>
    </row>
    <row r="511">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c r="AA511" s="40"/>
      <c r="AB511" s="40"/>
    </row>
    <row r="512">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c r="AA512" s="40"/>
      <c r="AB512" s="40"/>
    </row>
    <row r="513">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c r="AA513" s="40"/>
      <c r="AB513" s="40"/>
    </row>
    <row r="514">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c r="AA514" s="40"/>
      <c r="AB514" s="40"/>
    </row>
    <row r="515">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c r="AA515" s="40"/>
      <c r="AB515" s="40"/>
    </row>
    <row r="516">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c r="AA516" s="40"/>
      <c r="AB516" s="40"/>
    </row>
    <row r="517">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c r="AA517" s="40"/>
      <c r="AB517" s="40"/>
    </row>
    <row r="518">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c r="AA518" s="40"/>
      <c r="AB518" s="40"/>
    </row>
    <row r="519">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c r="AA519" s="40"/>
      <c r="AB519" s="40"/>
    </row>
    <row r="520">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c r="AA520" s="40"/>
      <c r="AB520" s="40"/>
    </row>
    <row r="521">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c r="AA521" s="40"/>
      <c r="AB521" s="40"/>
    </row>
    <row r="522">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c r="AA522" s="40"/>
      <c r="AB522" s="40"/>
    </row>
    <row r="523">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c r="AA523" s="40"/>
      <c r="AB523" s="40"/>
    </row>
    <row r="524">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c r="AA524" s="40"/>
      <c r="AB524" s="40"/>
    </row>
    <row r="525">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c r="AA525" s="40"/>
      <c r="AB525" s="40"/>
    </row>
    <row r="526">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c r="AA526" s="40"/>
      <c r="AB526" s="40"/>
    </row>
    <row r="527">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c r="AA527" s="40"/>
      <c r="AB527" s="40"/>
    </row>
    <row r="528">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c r="AA528" s="40"/>
      <c r="AB528" s="40"/>
    </row>
    <row r="529">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c r="AA529" s="40"/>
      <c r="AB529" s="40"/>
    </row>
    <row r="530">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c r="AA530" s="40"/>
      <c r="AB530" s="40"/>
    </row>
    <row r="531">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c r="AA531" s="40"/>
      <c r="AB531" s="40"/>
    </row>
    <row r="532">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c r="AA532" s="40"/>
      <c r="AB532" s="40"/>
    </row>
    <row r="533">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c r="AA533" s="40"/>
      <c r="AB533" s="40"/>
    </row>
    <row r="534">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c r="AA534" s="40"/>
      <c r="AB534" s="40"/>
    </row>
    <row r="535">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c r="AA535" s="40"/>
      <c r="AB535" s="40"/>
    </row>
    <row r="536">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c r="AA536" s="40"/>
      <c r="AB536" s="40"/>
    </row>
    <row r="537">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c r="AA537" s="40"/>
      <c r="AB537" s="40"/>
    </row>
    <row r="538">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c r="AA538" s="40"/>
      <c r="AB538" s="40"/>
    </row>
    <row r="539">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c r="AA539" s="40"/>
      <c r="AB539" s="40"/>
    </row>
    <row r="540">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c r="AA540" s="40"/>
      <c r="AB540" s="40"/>
    </row>
    <row r="541">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c r="AA541" s="40"/>
      <c r="AB541" s="40"/>
    </row>
    <row r="542">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c r="AA542" s="40"/>
      <c r="AB542" s="40"/>
    </row>
    <row r="543">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c r="AA543" s="40"/>
      <c r="AB543" s="40"/>
    </row>
    <row r="544">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c r="AA544" s="40"/>
      <c r="AB544" s="40"/>
    </row>
    <row r="545">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c r="AA545" s="40"/>
      <c r="AB545" s="40"/>
    </row>
    <row r="546">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c r="AA546" s="40"/>
      <c r="AB546" s="40"/>
    </row>
    <row r="547">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c r="AA547" s="40"/>
      <c r="AB547" s="40"/>
    </row>
    <row r="548">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c r="AA548" s="40"/>
      <c r="AB548" s="40"/>
    </row>
    <row r="549">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c r="AA549" s="40"/>
      <c r="AB549" s="40"/>
    </row>
    <row r="550">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c r="AA550" s="40"/>
      <c r="AB550" s="40"/>
    </row>
    <row r="551">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c r="AA551" s="40"/>
      <c r="AB551" s="40"/>
    </row>
    <row r="552">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c r="AA552" s="40"/>
      <c r="AB552" s="40"/>
    </row>
    <row r="553">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c r="AA553" s="40"/>
      <c r="AB553" s="40"/>
    </row>
    <row r="554">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c r="AA554" s="40"/>
      <c r="AB554" s="40"/>
    </row>
    <row r="555">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c r="AA555" s="40"/>
      <c r="AB555" s="40"/>
    </row>
    <row r="556">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c r="AA556" s="40"/>
      <c r="AB556" s="40"/>
    </row>
    <row r="557">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c r="AA557" s="40"/>
      <c r="AB557" s="40"/>
    </row>
    <row r="558">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c r="AA558" s="40"/>
      <c r="AB558" s="40"/>
    </row>
    <row r="559">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c r="AA559" s="40"/>
      <c r="AB559" s="40"/>
    </row>
    <row r="560">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c r="AA560" s="40"/>
      <c r="AB560" s="40"/>
    </row>
    <row r="561">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c r="AA561" s="40"/>
      <c r="AB561" s="40"/>
    </row>
    <row r="562">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c r="AA562" s="40"/>
      <c r="AB562" s="40"/>
    </row>
    <row r="563">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c r="AA563" s="40"/>
      <c r="AB563" s="40"/>
    </row>
    <row r="564">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c r="AA564" s="40"/>
      <c r="AB564" s="40"/>
    </row>
    <row r="565">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c r="AA565" s="40"/>
      <c r="AB565" s="40"/>
    </row>
    <row r="566">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c r="AA566" s="40"/>
      <c r="AB566" s="40"/>
    </row>
    <row r="567">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c r="AA567" s="40"/>
      <c r="AB567" s="40"/>
    </row>
    <row r="568">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c r="AA568" s="40"/>
      <c r="AB568" s="40"/>
    </row>
    <row r="569">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c r="AA569" s="40"/>
      <c r="AB569" s="40"/>
    </row>
    <row r="570">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c r="AA570" s="40"/>
      <c r="AB570" s="40"/>
    </row>
    <row r="571">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c r="AA571" s="40"/>
      <c r="AB571" s="40"/>
    </row>
    <row r="572">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c r="AA572" s="40"/>
      <c r="AB572" s="40"/>
    </row>
    <row r="573">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c r="AA573" s="40"/>
      <c r="AB573" s="40"/>
    </row>
    <row r="574">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c r="AA574" s="40"/>
      <c r="AB574" s="40"/>
    </row>
    <row r="575">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c r="AA575" s="40"/>
      <c r="AB575" s="40"/>
    </row>
    <row r="576">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c r="AA576" s="40"/>
      <c r="AB576" s="40"/>
    </row>
    <row r="577">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c r="AA577" s="40"/>
      <c r="AB577" s="40"/>
    </row>
    <row r="578">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c r="AA578" s="40"/>
      <c r="AB578" s="40"/>
    </row>
    <row r="579">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c r="AA579" s="40"/>
      <c r="AB579" s="40"/>
    </row>
    <row r="580">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c r="AA580" s="40"/>
      <c r="AB580" s="40"/>
    </row>
    <row r="581">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c r="AA581" s="40"/>
      <c r="AB581" s="40"/>
    </row>
    <row r="582">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c r="AA582" s="40"/>
      <c r="AB582" s="40"/>
    </row>
    <row r="583">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c r="AA583" s="40"/>
      <c r="AB583" s="40"/>
    </row>
    <row r="584">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c r="AA584" s="40"/>
      <c r="AB584" s="40"/>
    </row>
    <row r="585">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c r="AA585" s="40"/>
      <c r="AB585" s="40"/>
    </row>
    <row r="586">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c r="AA586" s="40"/>
      <c r="AB586" s="40"/>
    </row>
    <row r="587">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c r="AA587" s="40"/>
      <c r="AB587" s="40"/>
    </row>
    <row r="588">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c r="AA588" s="40"/>
      <c r="AB588" s="40"/>
    </row>
    <row r="589">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c r="AA589" s="40"/>
      <c r="AB589" s="40"/>
    </row>
    <row r="590">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c r="AA590" s="40"/>
      <c r="AB590" s="40"/>
    </row>
    <row r="591">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c r="AA591" s="40"/>
      <c r="AB591" s="40"/>
    </row>
    <row r="592">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c r="AA592" s="40"/>
      <c r="AB592" s="40"/>
    </row>
    <row r="593">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c r="AA593" s="40"/>
      <c r="AB593" s="40"/>
    </row>
    <row r="594">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c r="AA594" s="40"/>
      <c r="AB594" s="40"/>
    </row>
    <row r="595">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c r="AA595" s="40"/>
      <c r="AB595" s="40"/>
    </row>
    <row r="596">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c r="AA596" s="40"/>
      <c r="AB596" s="40"/>
    </row>
    <row r="597">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c r="AA597" s="40"/>
      <c r="AB597" s="40"/>
    </row>
    <row r="598">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c r="AA598" s="40"/>
      <c r="AB598" s="40"/>
    </row>
    <row r="599">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c r="AA599" s="40"/>
      <c r="AB599" s="40"/>
    </row>
    <row r="600">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c r="AA600" s="40"/>
      <c r="AB600" s="40"/>
    </row>
    <row r="601">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c r="AA601" s="40"/>
      <c r="AB601" s="40"/>
    </row>
    <row r="602">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c r="AA602" s="40"/>
      <c r="AB602" s="40"/>
    </row>
    <row r="603">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c r="AA603" s="40"/>
      <c r="AB603" s="40"/>
    </row>
    <row r="604">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c r="AA604" s="40"/>
      <c r="AB604" s="40"/>
    </row>
    <row r="605">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c r="AA605" s="40"/>
      <c r="AB605" s="40"/>
    </row>
    <row r="606">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c r="AA606" s="40"/>
      <c r="AB606" s="40"/>
    </row>
    <row r="607">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c r="AA607" s="40"/>
      <c r="AB607" s="40"/>
    </row>
    <row r="608">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c r="AA608" s="40"/>
      <c r="AB608" s="40"/>
    </row>
    <row r="609">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c r="AA609" s="40"/>
      <c r="AB609" s="40"/>
    </row>
    <row r="610">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c r="AA610" s="40"/>
      <c r="AB610" s="40"/>
    </row>
    <row r="611">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c r="AA611" s="40"/>
      <c r="AB611" s="40"/>
    </row>
    <row r="612">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c r="AA612" s="40"/>
      <c r="AB612" s="40"/>
    </row>
    <row r="613">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c r="AA613" s="40"/>
      <c r="AB613" s="40"/>
    </row>
    <row r="614">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c r="AA614" s="40"/>
      <c r="AB614" s="40"/>
    </row>
    <row r="615">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c r="AA615" s="40"/>
      <c r="AB615" s="40"/>
    </row>
    <row r="616">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c r="AA616" s="40"/>
      <c r="AB616" s="40"/>
    </row>
    <row r="617">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c r="AA617" s="40"/>
      <c r="AB617" s="40"/>
    </row>
    <row r="618">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c r="AA618" s="40"/>
      <c r="AB618" s="40"/>
    </row>
    <row r="619">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c r="AA619" s="40"/>
      <c r="AB619" s="40"/>
    </row>
    <row r="620">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c r="AA620" s="40"/>
      <c r="AB620" s="40"/>
    </row>
    <row r="621">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c r="AA621" s="40"/>
      <c r="AB621" s="40"/>
    </row>
    <row r="622">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c r="AA622" s="40"/>
      <c r="AB622" s="40"/>
    </row>
    <row r="623">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c r="AA623" s="40"/>
      <c r="AB623" s="40"/>
    </row>
    <row r="624">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c r="AA624" s="40"/>
      <c r="AB624" s="40"/>
    </row>
    <row r="625">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c r="AA625" s="40"/>
      <c r="AB625" s="40"/>
    </row>
    <row r="626">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c r="AA626" s="40"/>
      <c r="AB626" s="40"/>
    </row>
    <row r="627">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c r="AA627" s="40"/>
      <c r="AB627" s="40"/>
    </row>
    <row r="628">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c r="AA628" s="40"/>
      <c r="AB628" s="40"/>
    </row>
    <row r="629">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c r="AA629" s="40"/>
      <c r="AB629" s="40"/>
    </row>
    <row r="630">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c r="AA630" s="40"/>
      <c r="AB630" s="40"/>
    </row>
    <row r="631">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c r="AA631" s="40"/>
      <c r="AB631" s="40"/>
    </row>
    <row r="632">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c r="AA632" s="40"/>
      <c r="AB632" s="40"/>
    </row>
    <row r="633">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c r="AA633" s="40"/>
      <c r="AB633" s="40"/>
    </row>
    <row r="634">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c r="AA634" s="40"/>
      <c r="AB634" s="40"/>
    </row>
    <row r="635">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c r="AA635" s="40"/>
      <c r="AB635" s="40"/>
    </row>
    <row r="636">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c r="AA636" s="40"/>
      <c r="AB636" s="40"/>
    </row>
    <row r="637">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c r="AA637" s="40"/>
      <c r="AB637" s="40"/>
    </row>
    <row r="638">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c r="AA638" s="40"/>
      <c r="AB638" s="40"/>
    </row>
    <row r="639">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c r="AA639" s="40"/>
      <c r="AB639" s="40"/>
    </row>
    <row r="640">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c r="AA640" s="40"/>
      <c r="AB640" s="40"/>
    </row>
    <row r="641">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c r="AA641" s="40"/>
      <c r="AB641" s="40"/>
    </row>
    <row r="642">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c r="AA642" s="40"/>
      <c r="AB642" s="40"/>
    </row>
    <row r="643">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c r="AA643" s="40"/>
      <c r="AB643" s="40"/>
    </row>
    <row r="644">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c r="AA644" s="40"/>
      <c r="AB644" s="40"/>
    </row>
    <row r="645">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c r="AA645" s="40"/>
      <c r="AB645" s="40"/>
    </row>
    <row r="646">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c r="AA646" s="40"/>
      <c r="AB646" s="40"/>
    </row>
    <row r="647">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c r="AA647" s="40"/>
      <c r="AB647" s="40"/>
    </row>
    <row r="648">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c r="AA648" s="40"/>
      <c r="AB648" s="40"/>
    </row>
    <row r="649">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c r="AA649" s="40"/>
      <c r="AB649" s="40"/>
    </row>
    <row r="650">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c r="AA650" s="40"/>
      <c r="AB650" s="40"/>
    </row>
    <row r="651">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c r="AA651" s="40"/>
      <c r="AB651" s="40"/>
    </row>
    <row r="652">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c r="AA652" s="40"/>
      <c r="AB652" s="40"/>
    </row>
    <row r="653">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c r="AA653" s="40"/>
      <c r="AB653" s="40"/>
    </row>
    <row r="654">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c r="AA654" s="40"/>
      <c r="AB654" s="40"/>
    </row>
    <row r="655">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c r="AA655" s="40"/>
      <c r="AB655" s="40"/>
    </row>
    <row r="656">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c r="AA656" s="40"/>
      <c r="AB656" s="40"/>
    </row>
    <row r="657">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c r="AA657" s="40"/>
      <c r="AB657" s="40"/>
    </row>
    <row r="658">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c r="AA658" s="40"/>
      <c r="AB658" s="40"/>
    </row>
    <row r="659">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c r="AA659" s="40"/>
      <c r="AB659" s="40"/>
    </row>
    <row r="660">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c r="AA660" s="40"/>
      <c r="AB660" s="40"/>
    </row>
    <row r="661">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c r="AA661" s="40"/>
      <c r="AB661" s="40"/>
    </row>
    <row r="662">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c r="AA662" s="40"/>
      <c r="AB662" s="40"/>
    </row>
    <row r="663">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c r="AA663" s="40"/>
      <c r="AB663" s="40"/>
    </row>
    <row r="664">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c r="AA664" s="40"/>
      <c r="AB664" s="40"/>
    </row>
    <row r="665">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c r="AA665" s="40"/>
      <c r="AB665" s="40"/>
    </row>
    <row r="666">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c r="AA666" s="40"/>
      <c r="AB666" s="40"/>
    </row>
    <row r="667">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c r="AA667" s="40"/>
      <c r="AB667" s="40"/>
    </row>
    <row r="668">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c r="AA668" s="40"/>
      <c r="AB668" s="40"/>
    </row>
    <row r="669">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c r="AA669" s="40"/>
      <c r="AB669" s="40"/>
    </row>
    <row r="670">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c r="AA670" s="40"/>
      <c r="AB670" s="40"/>
    </row>
    <row r="671">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c r="AA671" s="40"/>
      <c r="AB671" s="40"/>
    </row>
    <row r="672">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c r="AA672" s="40"/>
      <c r="AB672" s="40"/>
    </row>
    <row r="673">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c r="AA673" s="40"/>
      <c r="AB673" s="40"/>
    </row>
    <row r="674">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c r="AA674" s="40"/>
      <c r="AB674" s="40"/>
    </row>
    <row r="675">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c r="AA675" s="40"/>
      <c r="AB675" s="40"/>
    </row>
    <row r="676">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c r="AA676" s="40"/>
      <c r="AB676" s="40"/>
    </row>
    <row r="677">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c r="AA677" s="40"/>
      <c r="AB677" s="40"/>
    </row>
    <row r="678">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c r="AA678" s="40"/>
      <c r="AB678" s="40"/>
    </row>
    <row r="679">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c r="AA679" s="40"/>
      <c r="AB679" s="40"/>
    </row>
    <row r="680">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c r="AA680" s="40"/>
      <c r="AB680" s="40"/>
    </row>
    <row r="681">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c r="AA681" s="40"/>
      <c r="AB681" s="40"/>
    </row>
    <row r="682">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c r="AA682" s="40"/>
      <c r="AB682" s="40"/>
    </row>
    <row r="683">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c r="AA683" s="40"/>
      <c r="AB683" s="40"/>
    </row>
    <row r="684">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c r="AA684" s="40"/>
      <c r="AB684" s="40"/>
    </row>
    <row r="685">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c r="AA685" s="40"/>
      <c r="AB685" s="40"/>
    </row>
    <row r="686">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c r="AA686" s="40"/>
      <c r="AB686" s="40"/>
    </row>
    <row r="687">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c r="AA687" s="40"/>
      <c r="AB687" s="40"/>
    </row>
    <row r="688">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c r="AA688" s="40"/>
      <c r="AB688" s="40"/>
    </row>
    <row r="689">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c r="AA689" s="40"/>
      <c r="AB689" s="40"/>
    </row>
    <row r="690">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c r="AA690" s="40"/>
      <c r="AB690" s="40"/>
    </row>
    <row r="691">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c r="AA691" s="40"/>
      <c r="AB691" s="40"/>
    </row>
    <row r="692">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c r="AA692" s="40"/>
      <c r="AB692" s="40"/>
    </row>
    <row r="693">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c r="AA693" s="40"/>
      <c r="AB693" s="40"/>
    </row>
    <row r="694">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c r="AA694" s="40"/>
      <c r="AB694" s="40"/>
    </row>
    <row r="695">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c r="AA695" s="40"/>
      <c r="AB695" s="40"/>
    </row>
    <row r="696">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c r="AA696" s="40"/>
      <c r="AB696" s="40"/>
    </row>
    <row r="697">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c r="AA697" s="40"/>
      <c r="AB697" s="40"/>
    </row>
    <row r="698">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c r="AA698" s="40"/>
      <c r="AB698" s="40"/>
    </row>
    <row r="699">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c r="AA699" s="40"/>
      <c r="AB699" s="40"/>
    </row>
    <row r="700">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c r="AA700" s="40"/>
      <c r="AB700" s="40"/>
    </row>
    <row r="701">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c r="AA701" s="40"/>
      <c r="AB701" s="40"/>
    </row>
    <row r="702">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c r="AA702" s="40"/>
      <c r="AB702" s="40"/>
    </row>
    <row r="703">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c r="AA703" s="40"/>
      <c r="AB703" s="40"/>
    </row>
    <row r="704">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c r="AA704" s="40"/>
      <c r="AB704" s="40"/>
    </row>
    <row r="705">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c r="AA705" s="40"/>
      <c r="AB705" s="40"/>
    </row>
    <row r="706">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c r="AA706" s="40"/>
      <c r="AB706" s="40"/>
    </row>
    <row r="707">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c r="AA707" s="40"/>
      <c r="AB707" s="40"/>
    </row>
    <row r="708">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c r="AA708" s="40"/>
      <c r="AB708" s="40"/>
    </row>
    <row r="709">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c r="AA709" s="40"/>
      <c r="AB709" s="40"/>
    </row>
    <row r="710">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c r="AA710" s="40"/>
      <c r="AB710" s="40"/>
    </row>
    <row r="711">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c r="AA711" s="40"/>
      <c r="AB711" s="40"/>
    </row>
    <row r="712">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c r="AA712" s="40"/>
      <c r="AB712" s="40"/>
    </row>
    <row r="713">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c r="AA713" s="40"/>
      <c r="AB713" s="40"/>
    </row>
    <row r="714">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c r="AA714" s="40"/>
      <c r="AB714" s="40"/>
    </row>
    <row r="715">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c r="AA715" s="40"/>
      <c r="AB715" s="40"/>
    </row>
    <row r="716">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c r="AA716" s="40"/>
      <c r="AB716" s="40"/>
    </row>
    <row r="717">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c r="AA717" s="40"/>
      <c r="AB717" s="40"/>
    </row>
    <row r="718">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c r="AA718" s="40"/>
      <c r="AB718" s="40"/>
    </row>
    <row r="719">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c r="AA719" s="40"/>
      <c r="AB719" s="40"/>
    </row>
    <row r="720">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c r="AA720" s="40"/>
      <c r="AB720" s="40"/>
    </row>
    <row r="721">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c r="AA721" s="40"/>
      <c r="AB721" s="40"/>
    </row>
    <row r="722">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c r="AA722" s="40"/>
      <c r="AB722" s="40"/>
    </row>
    <row r="723">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c r="AA723" s="40"/>
      <c r="AB723" s="40"/>
    </row>
    <row r="724">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c r="AA724" s="40"/>
      <c r="AB724" s="40"/>
    </row>
    <row r="725">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c r="AA725" s="40"/>
      <c r="AB725" s="40"/>
    </row>
    <row r="726">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c r="AA726" s="40"/>
      <c r="AB726" s="40"/>
    </row>
    <row r="727">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c r="AA727" s="40"/>
      <c r="AB727" s="40"/>
    </row>
    <row r="728">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c r="AA728" s="40"/>
      <c r="AB728" s="40"/>
    </row>
    <row r="729">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c r="AA729" s="40"/>
      <c r="AB729" s="40"/>
    </row>
    <row r="730">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c r="AA730" s="40"/>
      <c r="AB730" s="40"/>
    </row>
    <row r="731">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c r="AA731" s="40"/>
      <c r="AB731" s="40"/>
    </row>
    <row r="732">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c r="AA732" s="40"/>
      <c r="AB732" s="40"/>
    </row>
    <row r="733">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c r="AA733" s="40"/>
      <c r="AB733" s="40"/>
    </row>
    <row r="734">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c r="AA734" s="40"/>
      <c r="AB734" s="40"/>
    </row>
    <row r="735">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c r="AA735" s="40"/>
      <c r="AB735" s="40"/>
    </row>
    <row r="736">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c r="AA736" s="40"/>
      <c r="AB736" s="40"/>
    </row>
    <row r="737">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c r="AA737" s="40"/>
      <c r="AB737" s="40"/>
    </row>
    <row r="738">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c r="AA738" s="40"/>
      <c r="AB738" s="40"/>
    </row>
    <row r="739">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c r="AA739" s="40"/>
      <c r="AB739" s="40"/>
    </row>
    <row r="740">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c r="AA740" s="40"/>
      <c r="AB740" s="40"/>
    </row>
    <row r="741">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c r="AA741" s="40"/>
      <c r="AB741" s="40"/>
    </row>
    <row r="742">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c r="AA742" s="40"/>
      <c r="AB742" s="40"/>
    </row>
    <row r="743">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c r="AA743" s="40"/>
      <c r="AB743" s="40"/>
    </row>
    <row r="744">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c r="AA744" s="40"/>
      <c r="AB744" s="40"/>
    </row>
    <row r="745">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c r="AA745" s="40"/>
      <c r="AB745" s="40"/>
    </row>
    <row r="746">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c r="AA746" s="40"/>
      <c r="AB746" s="40"/>
    </row>
    <row r="747">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c r="AA747" s="40"/>
      <c r="AB747" s="40"/>
    </row>
    <row r="748">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c r="AA748" s="40"/>
      <c r="AB748" s="40"/>
    </row>
    <row r="749">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c r="AA749" s="40"/>
      <c r="AB749" s="40"/>
    </row>
    <row r="750">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c r="AA750" s="40"/>
      <c r="AB750" s="40"/>
    </row>
    <row r="751">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c r="AA751" s="40"/>
      <c r="AB751" s="40"/>
    </row>
    <row r="752">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c r="AA752" s="40"/>
      <c r="AB752" s="40"/>
    </row>
    <row r="753">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c r="AA753" s="40"/>
      <c r="AB753" s="40"/>
    </row>
    <row r="754">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c r="AA754" s="40"/>
      <c r="AB754" s="40"/>
    </row>
    <row r="755">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c r="AA755" s="40"/>
      <c r="AB755" s="40"/>
    </row>
    <row r="756">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c r="AA756" s="40"/>
      <c r="AB756" s="40"/>
    </row>
    <row r="757">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c r="AA757" s="40"/>
      <c r="AB757" s="40"/>
    </row>
    <row r="758">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c r="AA758" s="40"/>
      <c r="AB758" s="40"/>
    </row>
    <row r="759">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c r="AA759" s="40"/>
      <c r="AB759" s="40"/>
    </row>
    <row r="760">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c r="AA760" s="40"/>
      <c r="AB760" s="40"/>
    </row>
    <row r="761">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c r="AA761" s="40"/>
      <c r="AB761" s="40"/>
    </row>
    <row r="762">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c r="AA762" s="40"/>
      <c r="AB762" s="40"/>
    </row>
    <row r="763">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c r="AA763" s="40"/>
      <c r="AB763" s="40"/>
    </row>
    <row r="764">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c r="AA764" s="40"/>
      <c r="AB764" s="40"/>
    </row>
    <row r="765">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c r="AA765" s="40"/>
      <c r="AB765" s="40"/>
    </row>
    <row r="766">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c r="AA766" s="40"/>
      <c r="AB766" s="40"/>
    </row>
    <row r="767">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c r="AA767" s="40"/>
      <c r="AB767" s="40"/>
    </row>
    <row r="768">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c r="AA768" s="40"/>
      <c r="AB768" s="40"/>
    </row>
    <row r="769">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c r="AA769" s="40"/>
      <c r="AB769" s="40"/>
    </row>
    <row r="770">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c r="AA770" s="40"/>
      <c r="AB770" s="40"/>
    </row>
    <row r="771">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c r="AA771" s="40"/>
      <c r="AB771" s="40"/>
    </row>
    <row r="772">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c r="AA772" s="40"/>
      <c r="AB772" s="40"/>
    </row>
    <row r="773">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c r="AA773" s="40"/>
      <c r="AB773" s="40"/>
    </row>
    <row r="774">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c r="AA774" s="40"/>
      <c r="AB774" s="40"/>
    </row>
    <row r="775">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c r="AA775" s="40"/>
      <c r="AB775" s="40"/>
    </row>
    <row r="776">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c r="AA776" s="40"/>
      <c r="AB776" s="40"/>
    </row>
    <row r="777">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c r="AA777" s="40"/>
      <c r="AB777" s="40"/>
    </row>
    <row r="778">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c r="AA778" s="40"/>
      <c r="AB778" s="40"/>
    </row>
    <row r="779">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c r="AA779" s="40"/>
      <c r="AB779" s="40"/>
    </row>
    <row r="780">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c r="AA780" s="40"/>
      <c r="AB780" s="40"/>
    </row>
    <row r="781">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c r="AA781" s="40"/>
      <c r="AB781" s="40"/>
    </row>
    <row r="782">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c r="AA782" s="40"/>
      <c r="AB782" s="40"/>
    </row>
    <row r="783">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c r="AA783" s="40"/>
      <c r="AB783" s="40"/>
    </row>
    <row r="784">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c r="AA784" s="40"/>
      <c r="AB784" s="40"/>
    </row>
    <row r="785">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c r="AA785" s="40"/>
      <c r="AB785" s="40"/>
    </row>
    <row r="786">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c r="AA786" s="40"/>
      <c r="AB786" s="40"/>
    </row>
    <row r="787">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c r="AA787" s="40"/>
      <c r="AB787" s="40"/>
    </row>
    <row r="788">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c r="AA788" s="40"/>
      <c r="AB788" s="40"/>
    </row>
    <row r="789">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c r="AA789" s="40"/>
      <c r="AB789" s="40"/>
    </row>
    <row r="790">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c r="AA790" s="40"/>
      <c r="AB790" s="40"/>
    </row>
    <row r="791">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c r="AA791" s="40"/>
      <c r="AB791" s="40"/>
    </row>
    <row r="792">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c r="AA792" s="40"/>
      <c r="AB792" s="40"/>
    </row>
    <row r="793">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c r="AA793" s="40"/>
      <c r="AB793" s="40"/>
    </row>
    <row r="794">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c r="AA794" s="40"/>
      <c r="AB794" s="40"/>
    </row>
    <row r="795">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c r="AA795" s="40"/>
      <c r="AB795" s="40"/>
    </row>
    <row r="796">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c r="AA796" s="40"/>
      <c r="AB796" s="40"/>
    </row>
    <row r="797">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c r="AA797" s="40"/>
      <c r="AB797" s="40"/>
    </row>
    <row r="798">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c r="AA798" s="40"/>
      <c r="AB798" s="40"/>
    </row>
    <row r="799">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c r="AA799" s="40"/>
      <c r="AB799" s="40"/>
    </row>
    <row r="800">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c r="AA800" s="40"/>
      <c r="AB800" s="40"/>
    </row>
    <row r="801">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c r="AA801" s="40"/>
      <c r="AB801" s="40"/>
    </row>
    <row r="802">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c r="AA802" s="40"/>
      <c r="AB802" s="40"/>
    </row>
    <row r="803">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c r="AA803" s="40"/>
      <c r="AB803" s="40"/>
    </row>
    <row r="804">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c r="AA804" s="40"/>
      <c r="AB804" s="40"/>
    </row>
    <row r="805">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c r="AA805" s="40"/>
      <c r="AB805" s="40"/>
    </row>
    <row r="806">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c r="AA806" s="40"/>
      <c r="AB806" s="40"/>
    </row>
    <row r="807">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c r="AA807" s="40"/>
      <c r="AB807" s="40"/>
    </row>
    <row r="808">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c r="AA808" s="40"/>
      <c r="AB808" s="40"/>
    </row>
    <row r="809">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c r="AA809" s="40"/>
      <c r="AB809" s="40"/>
    </row>
    <row r="810">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c r="AA810" s="40"/>
      <c r="AB810" s="40"/>
    </row>
    <row r="811">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c r="AA811" s="40"/>
      <c r="AB811" s="40"/>
    </row>
    <row r="812">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c r="AA812" s="40"/>
      <c r="AB812" s="40"/>
    </row>
    <row r="813">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c r="AA813" s="40"/>
      <c r="AB813" s="40"/>
    </row>
    <row r="814">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c r="AA814" s="40"/>
      <c r="AB814" s="40"/>
    </row>
    <row r="815">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c r="AA815" s="40"/>
      <c r="AB815" s="40"/>
    </row>
    <row r="816">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c r="AA816" s="40"/>
      <c r="AB816" s="40"/>
    </row>
    <row r="817">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c r="AA817" s="40"/>
      <c r="AB817" s="40"/>
    </row>
    <row r="818">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c r="AA818" s="40"/>
      <c r="AB818" s="40"/>
    </row>
    <row r="819">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c r="AA819" s="40"/>
      <c r="AB819" s="40"/>
    </row>
    <row r="820">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c r="AA820" s="40"/>
      <c r="AB820" s="40"/>
    </row>
    <row r="821">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c r="AA821" s="40"/>
      <c r="AB821" s="40"/>
    </row>
    <row r="822">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c r="AA822" s="40"/>
      <c r="AB822" s="40"/>
    </row>
    <row r="823">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c r="AA823" s="40"/>
      <c r="AB823" s="40"/>
    </row>
    <row r="824">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c r="AA824" s="40"/>
      <c r="AB824" s="40"/>
    </row>
    <row r="825">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c r="AA825" s="40"/>
      <c r="AB825" s="40"/>
    </row>
    <row r="826">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c r="AA826" s="40"/>
      <c r="AB826" s="40"/>
    </row>
    <row r="827">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c r="AA827" s="40"/>
      <c r="AB827" s="40"/>
    </row>
    <row r="828">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c r="AA828" s="40"/>
      <c r="AB828" s="40"/>
    </row>
    <row r="829">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c r="AA829" s="40"/>
      <c r="AB829" s="40"/>
    </row>
    <row r="830">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c r="AA830" s="40"/>
      <c r="AB830" s="40"/>
    </row>
    <row r="831">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c r="AA831" s="40"/>
      <c r="AB831" s="40"/>
    </row>
    <row r="832">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c r="AA832" s="40"/>
      <c r="AB832" s="40"/>
    </row>
    <row r="833">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c r="AA833" s="40"/>
      <c r="AB833" s="40"/>
    </row>
    <row r="834">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c r="AA834" s="40"/>
      <c r="AB834" s="40"/>
    </row>
    <row r="835">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c r="AA835" s="40"/>
      <c r="AB835" s="40"/>
    </row>
    <row r="836">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c r="AA836" s="40"/>
      <c r="AB836" s="40"/>
    </row>
    <row r="837">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c r="AA837" s="40"/>
      <c r="AB837" s="40"/>
    </row>
    <row r="838">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c r="AA838" s="40"/>
      <c r="AB838" s="40"/>
    </row>
    <row r="839">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c r="AA839" s="40"/>
      <c r="AB839" s="40"/>
    </row>
    <row r="840">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c r="AA840" s="40"/>
      <c r="AB840" s="40"/>
    </row>
    <row r="841">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c r="AA841" s="40"/>
      <c r="AB841" s="40"/>
    </row>
    <row r="842">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c r="AA842" s="40"/>
      <c r="AB842" s="40"/>
    </row>
    <row r="843">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c r="AA843" s="40"/>
      <c r="AB843" s="40"/>
    </row>
    <row r="844">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c r="AA844" s="40"/>
      <c r="AB844" s="40"/>
    </row>
    <row r="845">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c r="AA845" s="40"/>
      <c r="AB845" s="40"/>
    </row>
    <row r="846">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c r="AA846" s="40"/>
      <c r="AB846" s="40"/>
    </row>
    <row r="847">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c r="AA847" s="40"/>
      <c r="AB847" s="40"/>
    </row>
    <row r="848">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c r="AA848" s="40"/>
      <c r="AB848" s="40"/>
    </row>
    <row r="849">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c r="AA849" s="40"/>
      <c r="AB849" s="40"/>
    </row>
    <row r="850">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c r="AA850" s="40"/>
      <c r="AB850" s="40"/>
    </row>
    <row r="851">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c r="AA851" s="40"/>
      <c r="AB851" s="40"/>
    </row>
    <row r="852">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c r="AA852" s="40"/>
      <c r="AB852" s="40"/>
    </row>
    <row r="853">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c r="AA853" s="40"/>
      <c r="AB853" s="40"/>
    </row>
    <row r="854">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c r="AA854" s="40"/>
      <c r="AB854" s="40"/>
    </row>
    <row r="855">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c r="AA855" s="40"/>
      <c r="AB855" s="40"/>
    </row>
    <row r="856">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c r="AA856" s="40"/>
      <c r="AB856" s="40"/>
    </row>
    <row r="857">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c r="AA857" s="40"/>
      <c r="AB857" s="40"/>
    </row>
    <row r="858">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c r="AA858" s="40"/>
      <c r="AB858" s="40"/>
    </row>
    <row r="859">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c r="AA859" s="40"/>
      <c r="AB859" s="40"/>
    </row>
    <row r="860">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c r="AA860" s="40"/>
      <c r="AB860" s="40"/>
    </row>
    <row r="861">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c r="AA861" s="40"/>
      <c r="AB861" s="40"/>
    </row>
    <row r="862">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c r="AA862" s="40"/>
      <c r="AB862" s="40"/>
    </row>
    <row r="863">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c r="AA863" s="40"/>
      <c r="AB863" s="40"/>
    </row>
    <row r="864">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c r="AA864" s="40"/>
      <c r="AB864" s="40"/>
    </row>
    <row r="865">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c r="AA865" s="40"/>
      <c r="AB865" s="40"/>
    </row>
    <row r="866">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c r="AA866" s="40"/>
      <c r="AB866" s="40"/>
    </row>
    <row r="867">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c r="AA867" s="40"/>
      <c r="AB867" s="40"/>
    </row>
    <row r="868">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c r="AA868" s="40"/>
      <c r="AB868" s="40"/>
    </row>
    <row r="869">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c r="AA869" s="40"/>
      <c r="AB869" s="40"/>
    </row>
    <row r="870">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c r="AA870" s="40"/>
      <c r="AB870" s="40"/>
    </row>
    <row r="871">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c r="AA871" s="40"/>
      <c r="AB871" s="40"/>
    </row>
    <row r="872">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c r="AA872" s="40"/>
      <c r="AB872" s="40"/>
    </row>
    <row r="873">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c r="AA873" s="40"/>
      <c r="AB873" s="40"/>
    </row>
    <row r="874">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c r="AA874" s="40"/>
      <c r="AB874" s="40"/>
    </row>
    <row r="875">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c r="AA875" s="40"/>
      <c r="AB875" s="40"/>
    </row>
    <row r="876">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c r="AA876" s="40"/>
      <c r="AB876" s="40"/>
    </row>
    <row r="877">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c r="AA877" s="40"/>
      <c r="AB877" s="40"/>
    </row>
    <row r="878">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c r="AA878" s="40"/>
      <c r="AB878" s="40"/>
    </row>
    <row r="879">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c r="AA879" s="40"/>
      <c r="AB879" s="40"/>
    </row>
    <row r="880">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c r="AA880" s="40"/>
      <c r="AB880" s="40"/>
    </row>
    <row r="881">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c r="AA881" s="40"/>
      <c r="AB881" s="40"/>
    </row>
    <row r="882">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c r="AA882" s="40"/>
      <c r="AB882" s="40"/>
    </row>
    <row r="883">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c r="AA883" s="40"/>
      <c r="AB883" s="40"/>
    </row>
    <row r="884">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c r="AA884" s="40"/>
      <c r="AB884" s="40"/>
    </row>
    <row r="885">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c r="AA885" s="40"/>
      <c r="AB885" s="40"/>
    </row>
    <row r="886">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c r="AA886" s="40"/>
      <c r="AB886" s="40"/>
    </row>
    <row r="887">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c r="AA887" s="40"/>
      <c r="AB887" s="40"/>
    </row>
    <row r="888">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c r="AA888" s="40"/>
      <c r="AB888" s="40"/>
    </row>
    <row r="889">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c r="AA889" s="40"/>
      <c r="AB889" s="40"/>
    </row>
    <row r="890">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c r="AA890" s="40"/>
      <c r="AB890" s="40"/>
    </row>
    <row r="891">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c r="AA891" s="40"/>
      <c r="AB891" s="40"/>
    </row>
    <row r="892">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c r="AA892" s="40"/>
      <c r="AB892" s="40"/>
    </row>
    <row r="893">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c r="AA893" s="40"/>
      <c r="AB893" s="40"/>
    </row>
    <row r="894">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c r="AA894" s="40"/>
      <c r="AB894" s="40"/>
    </row>
    <row r="895">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c r="AA895" s="40"/>
      <c r="AB895" s="40"/>
    </row>
    <row r="896">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c r="AA896" s="40"/>
      <c r="AB896" s="40"/>
    </row>
    <row r="897">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c r="AA897" s="40"/>
      <c r="AB897" s="40"/>
    </row>
    <row r="898">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c r="AA898" s="40"/>
      <c r="AB898" s="40"/>
    </row>
    <row r="899">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c r="AA899" s="40"/>
      <c r="AB899" s="40"/>
    </row>
    <row r="900">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c r="AA900" s="40"/>
      <c r="AB900" s="40"/>
    </row>
    <row r="901">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c r="AA901" s="40"/>
      <c r="AB901" s="40"/>
    </row>
    <row r="902">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c r="AA902" s="40"/>
      <c r="AB902" s="40"/>
    </row>
    <row r="903">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c r="AA903" s="40"/>
      <c r="AB903" s="40"/>
    </row>
    <row r="904">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c r="AA904" s="40"/>
      <c r="AB904" s="40"/>
    </row>
    <row r="905">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c r="AA905" s="40"/>
      <c r="AB905" s="40"/>
    </row>
    <row r="906">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c r="AA906" s="40"/>
      <c r="AB906" s="40"/>
    </row>
    <row r="907">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c r="AA907" s="40"/>
      <c r="AB907" s="40"/>
    </row>
    <row r="908">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c r="AA908" s="40"/>
      <c r="AB908" s="40"/>
    </row>
    <row r="909">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c r="AA909" s="40"/>
      <c r="AB909" s="40"/>
    </row>
    <row r="910">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c r="AA910" s="40"/>
      <c r="AB910" s="40"/>
    </row>
    <row r="911">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c r="AA911" s="40"/>
      <c r="AB911" s="40"/>
    </row>
    <row r="912">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c r="AA912" s="40"/>
      <c r="AB912" s="40"/>
    </row>
    <row r="913">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c r="AA913" s="40"/>
      <c r="AB913" s="40"/>
    </row>
    <row r="914">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c r="AA914" s="40"/>
      <c r="AB914" s="40"/>
    </row>
    <row r="915">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c r="AA915" s="40"/>
      <c r="AB915" s="40"/>
    </row>
    <row r="916">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c r="AA916" s="40"/>
      <c r="AB916" s="40"/>
    </row>
    <row r="917">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c r="AA917" s="40"/>
      <c r="AB917" s="40"/>
    </row>
    <row r="918">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c r="AA918" s="40"/>
      <c r="AB918" s="40"/>
    </row>
    <row r="919">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c r="AA919" s="40"/>
      <c r="AB919" s="40"/>
    </row>
    <row r="920">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c r="AA920" s="40"/>
      <c r="AB920" s="40"/>
    </row>
    <row r="921">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c r="AA921" s="40"/>
      <c r="AB921" s="40"/>
    </row>
    <row r="922">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c r="AA922" s="40"/>
      <c r="AB922" s="40"/>
    </row>
    <row r="923">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c r="AA923" s="40"/>
      <c r="AB923" s="40"/>
    </row>
    <row r="924">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c r="AA924" s="40"/>
      <c r="AB924" s="40"/>
    </row>
    <row r="925">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c r="AA925" s="40"/>
      <c r="AB925" s="40"/>
    </row>
    <row r="926">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c r="AA926" s="40"/>
      <c r="AB926" s="40"/>
    </row>
    <row r="927">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c r="AA927" s="40"/>
      <c r="AB927" s="40"/>
    </row>
    <row r="928">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c r="AA928" s="40"/>
      <c r="AB928" s="40"/>
    </row>
    <row r="929">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c r="AA929" s="40"/>
      <c r="AB929" s="40"/>
    </row>
    <row r="930">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c r="AA930" s="40"/>
      <c r="AB930" s="40"/>
    </row>
    <row r="931">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c r="AA931" s="40"/>
      <c r="AB931" s="40"/>
    </row>
    <row r="932">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c r="AA932" s="40"/>
      <c r="AB932" s="40"/>
    </row>
    <row r="933">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c r="AA933" s="40"/>
      <c r="AB933" s="40"/>
    </row>
    <row r="934">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c r="AA934" s="40"/>
      <c r="AB934" s="40"/>
    </row>
    <row r="935">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c r="AA935" s="40"/>
      <c r="AB935" s="40"/>
    </row>
    <row r="936">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c r="AA936" s="40"/>
      <c r="AB936" s="40"/>
    </row>
    <row r="937">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c r="AA937" s="40"/>
      <c r="AB937" s="40"/>
    </row>
    <row r="938">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c r="AA938" s="40"/>
      <c r="AB938" s="40"/>
    </row>
    <row r="939">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c r="AA939" s="40"/>
      <c r="AB939" s="40"/>
    </row>
    <row r="940">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c r="AA940" s="40"/>
      <c r="AB940" s="40"/>
    </row>
    <row r="941">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c r="AA941" s="40"/>
      <c r="AB941" s="40"/>
    </row>
    <row r="942">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c r="AA942" s="40"/>
      <c r="AB942" s="40"/>
    </row>
    <row r="943">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c r="AA943" s="40"/>
      <c r="AB943" s="40"/>
    </row>
    <row r="944">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c r="AA944" s="40"/>
      <c r="AB944" s="40"/>
    </row>
    <row r="945">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c r="AA945" s="40"/>
      <c r="AB945" s="40"/>
    </row>
    <row r="946">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c r="AA946" s="40"/>
      <c r="AB946" s="40"/>
    </row>
    <row r="947">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c r="AA947" s="40"/>
      <c r="AB947" s="40"/>
    </row>
    <row r="948">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c r="AA948" s="40"/>
      <c r="AB948" s="40"/>
    </row>
    <row r="949">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c r="AA949" s="40"/>
      <c r="AB949" s="40"/>
    </row>
    <row r="950">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c r="AA950" s="40"/>
      <c r="AB950" s="40"/>
    </row>
    <row r="951">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c r="AA951" s="40"/>
      <c r="AB951" s="40"/>
    </row>
    <row r="952">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c r="AA952" s="40"/>
      <c r="AB952" s="40"/>
    </row>
    <row r="953">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c r="AA953" s="40"/>
      <c r="AB953" s="40"/>
    </row>
    <row r="954">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c r="AA954" s="40"/>
      <c r="AB954" s="40"/>
    </row>
    <row r="955">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c r="AA955" s="40"/>
      <c r="AB955" s="40"/>
    </row>
    <row r="956">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c r="AA956" s="40"/>
      <c r="AB956" s="40"/>
    </row>
    <row r="957">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c r="AA957" s="40"/>
      <c r="AB957" s="40"/>
    </row>
    <row r="958">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c r="AA958" s="40"/>
      <c r="AB958" s="40"/>
    </row>
    <row r="959">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c r="AA959" s="40"/>
      <c r="AB959" s="40"/>
    </row>
    <row r="960">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c r="AA960" s="40"/>
      <c r="AB960" s="40"/>
    </row>
    <row r="961">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c r="AA961" s="40"/>
      <c r="AB961" s="40"/>
    </row>
    <row r="962">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c r="AA962" s="40"/>
      <c r="AB962" s="40"/>
    </row>
    <row r="963">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c r="AA963" s="40"/>
      <c r="AB963" s="40"/>
    </row>
    <row r="964">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c r="AA964" s="40"/>
      <c r="AB964" s="40"/>
    </row>
    <row r="965">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c r="AA965" s="40"/>
      <c r="AB965" s="40"/>
    </row>
    <row r="966">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c r="AA966" s="40"/>
      <c r="AB966" s="40"/>
    </row>
    <row r="967">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c r="AA967" s="40"/>
      <c r="AB967" s="40"/>
    </row>
    <row r="968">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c r="AA968" s="40"/>
      <c r="AB968" s="40"/>
    </row>
    <row r="969">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c r="AA969" s="40"/>
      <c r="AB969" s="40"/>
    </row>
    <row r="970">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c r="AA970" s="40"/>
      <c r="AB970" s="40"/>
    </row>
    <row r="971">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c r="AA971" s="40"/>
      <c r="AB971" s="40"/>
    </row>
    <row r="972">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c r="AA972" s="40"/>
      <c r="AB972" s="40"/>
    </row>
    <row r="973">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c r="AA973" s="40"/>
      <c r="AB973" s="40"/>
    </row>
    <row r="974">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c r="AA974" s="40"/>
      <c r="AB974" s="40"/>
    </row>
    <row r="975">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c r="AA975" s="40"/>
      <c r="AB975" s="40"/>
    </row>
    <row r="976">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c r="AA976" s="40"/>
      <c r="AB976" s="40"/>
    </row>
    <row r="977">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c r="AA977" s="40"/>
      <c r="AB977" s="40"/>
    </row>
    <row r="978">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c r="AA978" s="40"/>
      <c r="AB978" s="40"/>
    </row>
    <row r="979">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c r="AA979" s="40"/>
      <c r="AB979" s="40"/>
    </row>
    <row r="980">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c r="AA980" s="40"/>
      <c r="AB980" s="40"/>
    </row>
    <row r="981">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c r="AA981" s="40"/>
      <c r="AB981" s="40"/>
    </row>
    <row r="982">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c r="AA982" s="40"/>
      <c r="AB982" s="40"/>
    </row>
    <row r="983">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c r="AA983" s="40"/>
      <c r="AB983" s="40"/>
    </row>
    <row r="984">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c r="AA984" s="40"/>
      <c r="AB984" s="40"/>
    </row>
    <row r="985">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c r="AA985" s="40"/>
      <c r="AB985" s="40"/>
    </row>
    <row r="986">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c r="AA986" s="40"/>
      <c r="AB986" s="40"/>
    </row>
    <row r="987">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c r="AA987" s="40"/>
      <c r="AB987" s="40"/>
    </row>
    <row r="988">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c r="AA988" s="40"/>
      <c r="AB988" s="40"/>
    </row>
    <row r="989">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c r="AA989" s="40"/>
      <c r="AB989" s="40"/>
    </row>
    <row r="990">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c r="AA990" s="40"/>
      <c r="AB990" s="40"/>
    </row>
    <row r="991">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c r="AA991" s="40"/>
      <c r="AB991" s="40"/>
    </row>
    <row r="992">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c r="AA992" s="40"/>
      <c r="AB992" s="40"/>
    </row>
    <row r="993">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c r="AA993" s="40"/>
      <c r="AB993" s="40"/>
    </row>
    <row r="994">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c r="AA994" s="40"/>
      <c r="AB994" s="40"/>
    </row>
    <row r="995">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c r="AA995" s="40"/>
      <c r="AB995" s="40"/>
    </row>
    <row r="996">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c r="AA996" s="40"/>
      <c r="AB996" s="40"/>
    </row>
    <row r="997">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c r="AA997" s="40"/>
      <c r="AB997" s="40"/>
    </row>
    <row r="998">
      <c r="A998" s="40"/>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c r="AA998" s="40"/>
      <c r="AB998" s="40"/>
    </row>
    <row r="999">
      <c r="A999" s="40"/>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c r="AA999" s="40"/>
      <c r="AB999" s="40"/>
    </row>
    <row r="1000">
      <c r="A1000" s="40"/>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c r="AA1000" s="40"/>
      <c r="AB1000" s="40"/>
    </row>
    <row r="1001">
      <c r="A1001" s="40"/>
      <c r="B1001" s="40"/>
      <c r="C1001" s="40"/>
      <c r="D1001" s="40"/>
      <c r="E1001" s="40"/>
      <c r="F1001" s="40"/>
      <c r="G1001" s="40"/>
      <c r="H1001" s="40"/>
      <c r="I1001" s="40"/>
      <c r="J1001" s="40"/>
      <c r="K1001" s="40"/>
      <c r="L1001" s="40"/>
      <c r="M1001" s="40"/>
      <c r="N1001" s="40"/>
      <c r="O1001" s="40"/>
      <c r="P1001" s="40"/>
      <c r="Q1001" s="40"/>
      <c r="R1001" s="40"/>
      <c r="S1001" s="40"/>
      <c r="T1001" s="40"/>
      <c r="U1001" s="40"/>
      <c r="V1001" s="40"/>
      <c r="W1001" s="40"/>
      <c r="X1001" s="40"/>
      <c r="Y1001" s="40"/>
      <c r="Z1001" s="40"/>
      <c r="AA1001" s="40"/>
      <c r="AB1001" s="40"/>
    </row>
    <row r="1002">
      <c r="A1002" s="40"/>
      <c r="B1002" s="40"/>
      <c r="C1002" s="40"/>
      <c r="D1002" s="40"/>
      <c r="E1002" s="40"/>
      <c r="F1002" s="40"/>
      <c r="G1002" s="40"/>
      <c r="H1002" s="40"/>
      <c r="I1002" s="40"/>
      <c r="J1002" s="40"/>
      <c r="K1002" s="40"/>
      <c r="L1002" s="40"/>
      <c r="M1002" s="40"/>
      <c r="N1002" s="40"/>
      <c r="O1002" s="40"/>
      <c r="P1002" s="40"/>
      <c r="Q1002" s="40"/>
      <c r="R1002" s="40"/>
      <c r="S1002" s="40"/>
      <c r="T1002" s="40"/>
      <c r="U1002" s="40"/>
      <c r="V1002" s="40"/>
      <c r="W1002" s="40"/>
      <c r="X1002" s="40"/>
      <c r="Y1002" s="40"/>
      <c r="Z1002" s="40"/>
      <c r="AA1002" s="40"/>
      <c r="AB1002" s="40"/>
    </row>
    <row r="1003">
      <c r="A1003" s="40"/>
      <c r="B1003" s="40"/>
      <c r="C1003" s="40"/>
      <c r="D1003" s="40"/>
      <c r="E1003" s="40"/>
      <c r="F1003" s="40"/>
      <c r="G1003" s="40"/>
      <c r="H1003" s="40"/>
      <c r="I1003" s="40"/>
      <c r="J1003" s="40"/>
      <c r="K1003" s="40"/>
      <c r="L1003" s="40"/>
      <c r="M1003" s="40"/>
      <c r="N1003" s="40"/>
      <c r="O1003" s="40"/>
      <c r="P1003" s="40"/>
      <c r="Q1003" s="40"/>
      <c r="R1003" s="40"/>
      <c r="S1003" s="40"/>
      <c r="T1003" s="40"/>
      <c r="U1003" s="40"/>
      <c r="V1003" s="40"/>
      <c r="W1003" s="40"/>
      <c r="X1003" s="40"/>
      <c r="Y1003" s="40"/>
      <c r="Z1003" s="40"/>
      <c r="AA1003" s="40"/>
      <c r="AB1003" s="40"/>
    </row>
    <row r="1004">
      <c r="A1004" s="40"/>
      <c r="B1004" s="40"/>
      <c r="C1004" s="40"/>
      <c r="D1004" s="40"/>
      <c r="E1004" s="40"/>
      <c r="F1004" s="40"/>
      <c r="G1004" s="40"/>
      <c r="H1004" s="40"/>
      <c r="I1004" s="40"/>
      <c r="J1004" s="40"/>
      <c r="K1004" s="40"/>
      <c r="L1004" s="40"/>
      <c r="M1004" s="40"/>
      <c r="N1004" s="40"/>
      <c r="O1004" s="40"/>
      <c r="P1004" s="40"/>
      <c r="Q1004" s="40"/>
      <c r="R1004" s="40"/>
      <c r="S1004" s="40"/>
      <c r="T1004" s="40"/>
      <c r="U1004" s="40"/>
      <c r="V1004" s="40"/>
      <c r="W1004" s="40"/>
      <c r="X1004" s="40"/>
      <c r="Y1004" s="40"/>
      <c r="Z1004" s="40"/>
      <c r="AA1004" s="40"/>
      <c r="AB1004" s="40"/>
    </row>
    <row r="1005">
      <c r="A1005" s="40"/>
      <c r="B1005" s="40"/>
      <c r="C1005" s="40"/>
      <c r="D1005" s="40"/>
      <c r="E1005" s="40"/>
      <c r="F1005" s="40"/>
      <c r="G1005" s="40"/>
      <c r="H1005" s="40"/>
      <c r="I1005" s="40"/>
      <c r="J1005" s="40"/>
      <c r="K1005" s="40"/>
      <c r="L1005" s="40"/>
      <c r="M1005" s="40"/>
      <c r="N1005" s="40"/>
      <c r="O1005" s="40"/>
      <c r="P1005" s="40"/>
      <c r="Q1005" s="40"/>
      <c r="R1005" s="40"/>
      <c r="S1005" s="40"/>
      <c r="T1005" s="40"/>
      <c r="U1005" s="40"/>
      <c r="V1005" s="40"/>
      <c r="W1005" s="40"/>
      <c r="X1005" s="40"/>
      <c r="Y1005" s="40"/>
      <c r="Z1005" s="40"/>
      <c r="AA1005" s="40"/>
      <c r="AB1005" s="40"/>
    </row>
    <row r="1006">
      <c r="A1006" s="40"/>
      <c r="B1006" s="40"/>
      <c r="C1006" s="40"/>
      <c r="D1006" s="40"/>
      <c r="E1006" s="40"/>
      <c r="F1006" s="40"/>
      <c r="G1006" s="40"/>
      <c r="H1006" s="40"/>
      <c r="I1006" s="40"/>
      <c r="J1006" s="40"/>
      <c r="K1006" s="40"/>
      <c r="L1006" s="40"/>
      <c r="M1006" s="40"/>
      <c r="N1006" s="40"/>
      <c r="O1006" s="40"/>
      <c r="P1006" s="40"/>
      <c r="Q1006" s="40"/>
      <c r="R1006" s="40"/>
      <c r="S1006" s="40"/>
      <c r="T1006" s="40"/>
      <c r="U1006" s="40"/>
      <c r="V1006" s="40"/>
      <c r="W1006" s="40"/>
      <c r="X1006" s="40"/>
      <c r="Y1006" s="40"/>
      <c r="Z1006" s="40"/>
      <c r="AA1006" s="40"/>
      <c r="AB1006" s="40"/>
    </row>
    <row r="1007">
      <c r="A1007" s="40"/>
      <c r="B1007" s="40"/>
      <c r="C1007" s="40"/>
      <c r="D1007" s="40"/>
      <c r="E1007" s="40"/>
      <c r="F1007" s="40"/>
      <c r="G1007" s="40"/>
      <c r="H1007" s="40"/>
      <c r="I1007" s="40"/>
      <c r="J1007" s="40"/>
      <c r="K1007" s="40"/>
      <c r="L1007" s="40"/>
      <c r="M1007" s="40"/>
      <c r="N1007" s="40"/>
      <c r="O1007" s="40"/>
      <c r="P1007" s="40"/>
      <c r="Q1007" s="40"/>
      <c r="R1007" s="40"/>
      <c r="S1007" s="40"/>
      <c r="T1007" s="40"/>
      <c r="U1007" s="40"/>
      <c r="V1007" s="40"/>
      <c r="W1007" s="40"/>
      <c r="X1007" s="40"/>
      <c r="Y1007" s="40"/>
      <c r="Z1007" s="40"/>
      <c r="AA1007" s="40"/>
      <c r="AB1007" s="40"/>
    </row>
    <row r="1008">
      <c r="A1008" s="40"/>
      <c r="B1008" s="40"/>
      <c r="C1008" s="40"/>
      <c r="D1008" s="40"/>
      <c r="E1008" s="40"/>
      <c r="F1008" s="40"/>
      <c r="G1008" s="40"/>
      <c r="H1008" s="40"/>
      <c r="I1008" s="40"/>
      <c r="J1008" s="40"/>
      <c r="K1008" s="40"/>
      <c r="L1008" s="40"/>
      <c r="M1008" s="40"/>
      <c r="N1008" s="40"/>
      <c r="O1008" s="40"/>
      <c r="P1008" s="40"/>
      <c r="Q1008" s="40"/>
      <c r="R1008" s="40"/>
      <c r="S1008" s="40"/>
      <c r="T1008" s="40"/>
      <c r="U1008" s="40"/>
      <c r="V1008" s="40"/>
      <c r="W1008" s="40"/>
      <c r="X1008" s="40"/>
      <c r="Y1008" s="40"/>
      <c r="Z1008" s="40"/>
      <c r="AA1008" s="40"/>
      <c r="AB1008" s="40"/>
    </row>
    <row r="1009">
      <c r="A1009" s="40"/>
      <c r="B1009" s="40"/>
      <c r="C1009" s="40"/>
      <c r="D1009" s="40"/>
      <c r="E1009" s="40"/>
      <c r="F1009" s="40"/>
      <c r="G1009" s="40"/>
      <c r="H1009" s="40"/>
      <c r="I1009" s="40"/>
      <c r="J1009" s="40"/>
      <c r="K1009" s="40"/>
      <c r="L1009" s="40"/>
      <c r="M1009" s="40"/>
      <c r="N1009" s="40"/>
      <c r="O1009" s="40"/>
      <c r="P1009" s="40"/>
      <c r="Q1009" s="40"/>
      <c r="R1009" s="40"/>
      <c r="S1009" s="40"/>
      <c r="T1009" s="40"/>
      <c r="U1009" s="40"/>
      <c r="V1009" s="40"/>
      <c r="W1009" s="40"/>
      <c r="X1009" s="40"/>
      <c r="Y1009" s="40"/>
      <c r="Z1009" s="40"/>
      <c r="AA1009" s="40"/>
      <c r="AB1009" s="40"/>
    </row>
    <row r="1010">
      <c r="A1010" s="40"/>
      <c r="B1010" s="40"/>
      <c r="C1010" s="40"/>
      <c r="D1010" s="40"/>
      <c r="E1010" s="40"/>
      <c r="F1010" s="40"/>
      <c r="G1010" s="40"/>
      <c r="H1010" s="40"/>
      <c r="I1010" s="40"/>
      <c r="J1010" s="40"/>
      <c r="K1010" s="40"/>
      <c r="L1010" s="40"/>
      <c r="M1010" s="40"/>
      <c r="N1010" s="40"/>
      <c r="O1010" s="40"/>
      <c r="P1010" s="40"/>
      <c r="Q1010" s="40"/>
      <c r="R1010" s="40"/>
      <c r="S1010" s="40"/>
      <c r="T1010" s="40"/>
      <c r="U1010" s="40"/>
      <c r="V1010" s="40"/>
      <c r="W1010" s="40"/>
      <c r="X1010" s="40"/>
      <c r="Y1010" s="40"/>
      <c r="Z1010" s="40"/>
      <c r="AA1010" s="40"/>
      <c r="AB1010" s="40"/>
    </row>
    <row r="1011">
      <c r="A1011" s="40"/>
      <c r="B1011" s="40"/>
      <c r="C1011" s="40"/>
      <c r="D1011" s="40"/>
      <c r="E1011" s="40"/>
      <c r="F1011" s="40"/>
      <c r="G1011" s="40"/>
      <c r="H1011" s="40"/>
      <c r="I1011" s="40"/>
      <c r="J1011" s="40"/>
      <c r="K1011" s="40"/>
      <c r="L1011" s="40"/>
      <c r="M1011" s="40"/>
      <c r="N1011" s="40"/>
      <c r="O1011" s="40"/>
      <c r="P1011" s="40"/>
      <c r="Q1011" s="40"/>
      <c r="R1011" s="40"/>
      <c r="S1011" s="40"/>
      <c r="T1011" s="40"/>
      <c r="U1011" s="40"/>
      <c r="V1011" s="40"/>
      <c r="W1011" s="40"/>
      <c r="X1011" s="40"/>
      <c r="Y1011" s="40"/>
      <c r="Z1011" s="40"/>
      <c r="AA1011" s="40"/>
      <c r="AB1011" s="40"/>
    </row>
    <row r="1012">
      <c r="A1012" s="40"/>
      <c r="B1012" s="40"/>
      <c r="C1012" s="40"/>
      <c r="D1012" s="40"/>
      <c r="E1012" s="40"/>
      <c r="F1012" s="40"/>
      <c r="G1012" s="40"/>
      <c r="H1012" s="40"/>
      <c r="I1012" s="40"/>
      <c r="J1012" s="40"/>
      <c r="K1012" s="40"/>
      <c r="L1012" s="40"/>
      <c r="M1012" s="40"/>
      <c r="N1012" s="40"/>
      <c r="O1012" s="40"/>
      <c r="P1012" s="40"/>
      <c r="Q1012" s="40"/>
      <c r="R1012" s="40"/>
      <c r="S1012" s="40"/>
      <c r="T1012" s="40"/>
      <c r="U1012" s="40"/>
      <c r="V1012" s="40"/>
      <c r="W1012" s="40"/>
      <c r="X1012" s="40"/>
      <c r="Y1012" s="40"/>
      <c r="Z1012" s="40"/>
      <c r="AA1012" s="40"/>
      <c r="AB1012" s="40"/>
    </row>
    <row r="1013">
      <c r="A1013" s="40"/>
      <c r="B1013" s="40"/>
      <c r="C1013" s="40"/>
      <c r="D1013" s="40"/>
      <c r="E1013" s="40"/>
      <c r="F1013" s="40"/>
      <c r="G1013" s="40"/>
      <c r="H1013" s="40"/>
      <c r="I1013" s="40"/>
      <c r="J1013" s="40"/>
      <c r="K1013" s="40"/>
      <c r="L1013" s="40"/>
      <c r="M1013" s="40"/>
      <c r="N1013" s="40"/>
      <c r="O1013" s="40"/>
      <c r="P1013" s="40"/>
      <c r="Q1013" s="40"/>
      <c r="R1013" s="40"/>
      <c r="S1013" s="40"/>
      <c r="T1013" s="40"/>
      <c r="U1013" s="40"/>
      <c r="V1013" s="40"/>
      <c r="W1013" s="40"/>
      <c r="X1013" s="40"/>
      <c r="Y1013" s="40"/>
      <c r="Z1013" s="40"/>
      <c r="AA1013" s="40"/>
      <c r="AB1013" s="40"/>
    </row>
    <row r="1014">
      <c r="A1014" s="40"/>
      <c r="B1014" s="40"/>
      <c r="C1014" s="40"/>
      <c r="D1014" s="40"/>
      <c r="E1014" s="40"/>
      <c r="F1014" s="40"/>
      <c r="G1014" s="40"/>
      <c r="H1014" s="40"/>
      <c r="I1014" s="40"/>
      <c r="J1014" s="40"/>
      <c r="K1014" s="40"/>
      <c r="L1014" s="40"/>
      <c r="M1014" s="40"/>
      <c r="N1014" s="40"/>
      <c r="O1014" s="40"/>
      <c r="P1014" s="40"/>
      <c r="Q1014" s="40"/>
      <c r="R1014" s="40"/>
      <c r="S1014" s="40"/>
      <c r="T1014" s="40"/>
      <c r="U1014" s="40"/>
      <c r="V1014" s="40"/>
      <c r="W1014" s="40"/>
      <c r="X1014" s="40"/>
      <c r="Y1014" s="40"/>
      <c r="Z1014" s="40"/>
      <c r="AA1014" s="40"/>
      <c r="AB1014" s="40"/>
    </row>
    <row r="1015">
      <c r="A1015" s="40"/>
      <c r="B1015" s="40"/>
      <c r="C1015" s="40"/>
      <c r="D1015" s="40"/>
      <c r="E1015" s="40"/>
      <c r="F1015" s="40"/>
      <c r="G1015" s="40"/>
      <c r="H1015" s="40"/>
      <c r="I1015" s="40"/>
      <c r="J1015" s="40"/>
      <c r="K1015" s="40"/>
      <c r="L1015" s="40"/>
      <c r="M1015" s="40"/>
      <c r="N1015" s="40"/>
      <c r="O1015" s="40"/>
      <c r="P1015" s="40"/>
      <c r="Q1015" s="40"/>
      <c r="R1015" s="40"/>
      <c r="S1015" s="40"/>
      <c r="T1015" s="40"/>
      <c r="U1015" s="40"/>
      <c r="V1015" s="40"/>
      <c r="W1015" s="40"/>
      <c r="X1015" s="40"/>
      <c r="Y1015" s="40"/>
      <c r="Z1015" s="40"/>
      <c r="AA1015" s="40"/>
      <c r="AB1015" s="40"/>
    </row>
    <row r="1016">
      <c r="A1016" s="40"/>
      <c r="B1016" s="40"/>
      <c r="C1016" s="40"/>
      <c r="D1016" s="40"/>
      <c r="E1016" s="40"/>
      <c r="F1016" s="40"/>
      <c r="G1016" s="40"/>
      <c r="H1016" s="40"/>
      <c r="I1016" s="40"/>
      <c r="J1016" s="40"/>
      <c r="K1016" s="40"/>
      <c r="L1016" s="40"/>
      <c r="M1016" s="40"/>
      <c r="N1016" s="40"/>
      <c r="O1016" s="40"/>
      <c r="P1016" s="40"/>
      <c r="Q1016" s="40"/>
      <c r="R1016" s="40"/>
      <c r="S1016" s="40"/>
      <c r="T1016" s="40"/>
      <c r="U1016" s="40"/>
      <c r="V1016" s="40"/>
      <c r="W1016" s="40"/>
      <c r="X1016" s="40"/>
      <c r="Y1016" s="40"/>
      <c r="Z1016" s="40"/>
      <c r="AA1016" s="40"/>
      <c r="AB1016" s="40"/>
    </row>
    <row r="1017">
      <c r="A1017" s="40"/>
      <c r="B1017" s="40"/>
      <c r="C1017" s="40"/>
      <c r="D1017" s="40"/>
      <c r="E1017" s="40"/>
      <c r="F1017" s="40"/>
      <c r="G1017" s="40"/>
      <c r="H1017" s="40"/>
      <c r="I1017" s="40"/>
      <c r="J1017" s="40"/>
      <c r="K1017" s="40"/>
      <c r="L1017" s="40"/>
      <c r="M1017" s="40"/>
      <c r="N1017" s="40"/>
      <c r="O1017" s="40"/>
      <c r="P1017" s="40"/>
      <c r="Q1017" s="40"/>
      <c r="R1017" s="40"/>
      <c r="S1017" s="40"/>
      <c r="T1017" s="40"/>
      <c r="U1017" s="40"/>
      <c r="V1017" s="40"/>
      <c r="W1017" s="40"/>
      <c r="X1017" s="40"/>
      <c r="Y1017" s="40"/>
      <c r="Z1017" s="40"/>
      <c r="AA1017" s="40"/>
      <c r="AB1017" s="40"/>
    </row>
    <row r="1018">
      <c r="A1018" s="40"/>
      <c r="B1018" s="40"/>
      <c r="C1018" s="40"/>
      <c r="D1018" s="40"/>
      <c r="E1018" s="40"/>
      <c r="F1018" s="40"/>
      <c r="G1018" s="40"/>
      <c r="H1018" s="40"/>
      <c r="I1018" s="40"/>
      <c r="J1018" s="40"/>
      <c r="K1018" s="40"/>
      <c r="L1018" s="40"/>
      <c r="M1018" s="40"/>
      <c r="N1018" s="40"/>
      <c r="O1018" s="40"/>
      <c r="P1018" s="40"/>
      <c r="Q1018" s="40"/>
      <c r="R1018" s="40"/>
      <c r="S1018" s="40"/>
      <c r="T1018" s="40"/>
      <c r="U1018" s="40"/>
      <c r="V1018" s="40"/>
      <c r="W1018" s="40"/>
      <c r="X1018" s="40"/>
      <c r="Y1018" s="40"/>
      <c r="Z1018" s="40"/>
      <c r="AA1018" s="40"/>
      <c r="AB1018" s="40"/>
    </row>
    <row r="1019">
      <c r="A1019" s="40"/>
      <c r="B1019" s="40"/>
      <c r="C1019" s="40"/>
      <c r="D1019" s="40"/>
      <c r="E1019" s="40"/>
      <c r="F1019" s="40"/>
      <c r="G1019" s="40"/>
      <c r="H1019" s="40"/>
      <c r="I1019" s="40"/>
      <c r="J1019" s="40"/>
      <c r="K1019" s="40"/>
      <c r="L1019" s="40"/>
      <c r="M1019" s="40"/>
      <c r="N1019" s="40"/>
      <c r="O1019" s="40"/>
      <c r="P1019" s="40"/>
      <c r="Q1019" s="40"/>
      <c r="R1019" s="40"/>
      <c r="S1019" s="40"/>
      <c r="T1019" s="40"/>
      <c r="U1019" s="40"/>
      <c r="V1019" s="40"/>
      <c r="W1019" s="40"/>
      <c r="X1019" s="40"/>
      <c r="Y1019" s="40"/>
      <c r="Z1019" s="40"/>
      <c r="AA1019" s="40"/>
      <c r="AB1019" s="40"/>
    </row>
    <row r="1020">
      <c r="A1020" s="40"/>
      <c r="B1020" s="40"/>
      <c r="C1020" s="40"/>
      <c r="D1020" s="40"/>
      <c r="E1020" s="40"/>
      <c r="F1020" s="40"/>
      <c r="G1020" s="40"/>
      <c r="H1020" s="40"/>
      <c r="I1020" s="40"/>
      <c r="J1020" s="40"/>
      <c r="K1020" s="40"/>
      <c r="L1020" s="40"/>
      <c r="M1020" s="40"/>
      <c r="N1020" s="40"/>
      <c r="O1020" s="40"/>
      <c r="P1020" s="40"/>
      <c r="Q1020" s="40"/>
      <c r="R1020" s="40"/>
      <c r="S1020" s="40"/>
      <c r="T1020" s="40"/>
      <c r="U1020" s="40"/>
      <c r="V1020" s="40"/>
      <c r="W1020" s="40"/>
      <c r="X1020" s="40"/>
      <c r="Y1020" s="40"/>
      <c r="Z1020" s="40"/>
      <c r="AA1020" s="40"/>
      <c r="AB1020" s="40"/>
    </row>
    <row r="1021">
      <c r="A1021" s="40"/>
      <c r="B1021" s="40"/>
      <c r="C1021" s="40"/>
      <c r="D1021" s="40"/>
      <c r="E1021" s="40"/>
      <c r="F1021" s="40"/>
      <c r="G1021" s="40"/>
      <c r="H1021" s="40"/>
      <c r="I1021" s="40"/>
      <c r="J1021" s="40"/>
      <c r="K1021" s="40"/>
      <c r="L1021" s="40"/>
      <c r="M1021" s="40"/>
      <c r="N1021" s="40"/>
      <c r="O1021" s="40"/>
      <c r="P1021" s="40"/>
      <c r="Q1021" s="40"/>
      <c r="R1021" s="40"/>
      <c r="S1021" s="40"/>
      <c r="T1021" s="40"/>
      <c r="U1021" s="40"/>
      <c r="V1021" s="40"/>
      <c r="W1021" s="40"/>
      <c r="X1021" s="40"/>
      <c r="Y1021" s="40"/>
      <c r="Z1021" s="40"/>
      <c r="AA1021" s="40"/>
      <c r="AB1021" s="40"/>
    </row>
  </sheetData>
  <mergeCells count="5">
    <mergeCell ref="K3:Q21"/>
    <mergeCell ref="K24:Q37"/>
    <mergeCell ref="K41:Q54"/>
    <mergeCell ref="K58:Q71"/>
    <mergeCell ref="K121:Q134"/>
  </mergeCells>
  <conditionalFormatting sqref="B162:I162">
    <cfRule type="cellIs" dxfId="0" priority="1" operator="greaterThanOrEqual">
      <formula>"7%"</formula>
    </cfRule>
  </conditionalFormatting>
  <conditionalFormatting sqref="B162:I162">
    <cfRule type="cellIs" dxfId="1" priority="2" operator="lessThan">
      <formula>"7%"</formula>
    </cfRule>
  </conditionalFormatting>
  <printOptions gridLines="1" horizontalCentered="1"/>
  <pageMargins bottom="0.75" footer="0.0" header="0.0" left="0.7" right="0.7"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29.13"/>
    <col customWidth="1" min="2" max="2" width="19.38"/>
    <col customWidth="1" min="3" max="3" width="18.38"/>
    <col customWidth="1" min="4" max="4" width="18.13"/>
    <col customWidth="1" min="5" max="6" width="16.13"/>
    <col customWidth="1" min="7" max="7" width="15.25"/>
    <col customWidth="1" min="8" max="8" width="13.13"/>
    <col customWidth="1" min="9" max="9" width="15.13"/>
  </cols>
  <sheetData>
    <row r="1">
      <c r="A1" s="2" t="s">
        <v>0</v>
      </c>
      <c r="B1" s="2">
        <v>1490.0</v>
      </c>
      <c r="F1" s="118" t="s">
        <v>36</v>
      </c>
      <c r="G1" s="118">
        <v>30.0</v>
      </c>
      <c r="H1" s="118" t="s">
        <v>37</v>
      </c>
      <c r="I1" s="119">
        <f>G1/30</f>
        <v>1</v>
      </c>
    </row>
    <row r="2">
      <c r="A2" s="4" t="s">
        <v>1</v>
      </c>
    </row>
    <row r="3">
      <c r="A3" s="7" t="s">
        <v>3</v>
      </c>
      <c r="B3" s="8" t="s">
        <v>96</v>
      </c>
      <c r="C3" s="8" t="s">
        <v>97</v>
      </c>
      <c r="D3" s="8" t="s">
        <v>98</v>
      </c>
      <c r="E3" s="8" t="s">
        <v>99</v>
      </c>
      <c r="F3" s="8" t="s">
        <v>100</v>
      </c>
      <c r="G3" s="8" t="s">
        <v>43</v>
      </c>
      <c r="H3" s="9" t="s">
        <v>17</v>
      </c>
      <c r="I3" s="120" t="s">
        <v>44</v>
      </c>
      <c r="J3" s="121" t="s">
        <v>45</v>
      </c>
      <c r="K3" s="122" t="s">
        <v>101</v>
      </c>
      <c r="L3" s="49"/>
      <c r="M3" s="49"/>
      <c r="N3" s="49"/>
      <c r="O3" s="49"/>
      <c r="P3" s="49"/>
      <c r="Q3" s="50"/>
    </row>
    <row r="4">
      <c r="A4" s="10" t="s">
        <v>19</v>
      </c>
      <c r="B4" s="11">
        <f>1864968+168000</f>
        <v>2032968</v>
      </c>
      <c r="C4" s="11">
        <f>+149000+1821978</f>
        <v>1970978</v>
      </c>
      <c r="D4" s="11">
        <v>1964726.0</v>
      </c>
      <c r="E4" s="11">
        <v>1827437.0</v>
      </c>
      <c r="F4" s="11">
        <v>874435.0</v>
      </c>
      <c r="G4" s="13">
        <f t="shared" ref="G4:G6" si="2">SUM(B4:F4)</f>
        <v>8670544</v>
      </c>
      <c r="H4" s="14">
        <v>8550000.0</v>
      </c>
      <c r="I4" s="123">
        <f t="shared" ref="I4:I6" si="3">G4/H4</f>
        <v>1.014098713</v>
      </c>
      <c r="J4" s="124">
        <f>$G4/$G$1*30</f>
        <v>8670544</v>
      </c>
      <c r="K4" s="57"/>
      <c r="Q4" s="58"/>
    </row>
    <row r="5">
      <c r="A5" s="10" t="s">
        <v>20</v>
      </c>
      <c r="B5" s="16">
        <f t="shared" ref="B5:F5" si="1">B4/$B$1</f>
        <v>1364.408054</v>
      </c>
      <c r="C5" s="16">
        <f t="shared" si="1"/>
        <v>1322.804027</v>
      </c>
      <c r="D5" s="16">
        <f t="shared" si="1"/>
        <v>1318.608054</v>
      </c>
      <c r="E5" s="16">
        <f t="shared" si="1"/>
        <v>1226.467785</v>
      </c>
      <c r="F5" s="16">
        <f t="shared" si="1"/>
        <v>586.8691275</v>
      </c>
      <c r="G5" s="17">
        <f t="shared" si="2"/>
        <v>5819.157047</v>
      </c>
      <c r="H5" s="18">
        <f>H4/$B$1</f>
        <v>5738.255034</v>
      </c>
      <c r="I5" s="123">
        <f t="shared" si="3"/>
        <v>1.014098713</v>
      </c>
      <c r="J5" s="125">
        <f>J4/$B$1</f>
        <v>5819.157047</v>
      </c>
      <c r="K5" s="57"/>
      <c r="Q5" s="58"/>
    </row>
    <row r="6">
      <c r="A6" s="10" t="s">
        <v>21</v>
      </c>
      <c r="B6" s="20">
        <v>453.0</v>
      </c>
      <c r="C6" s="20">
        <v>466.0</v>
      </c>
      <c r="D6" s="20">
        <v>384.0</v>
      </c>
      <c r="E6" s="20">
        <v>385.0</v>
      </c>
      <c r="F6" s="20">
        <v>111.0</v>
      </c>
      <c r="G6" s="22">
        <f t="shared" si="2"/>
        <v>1799</v>
      </c>
      <c r="H6" s="126">
        <f>H4/H7</f>
        <v>1811.440678</v>
      </c>
      <c r="I6" s="123">
        <f t="shared" si="3"/>
        <v>0.9931321637</v>
      </c>
      <c r="J6" s="127">
        <f>$G6/$G$1*30</f>
        <v>1799</v>
      </c>
      <c r="K6" s="57"/>
      <c r="Q6" s="58"/>
    </row>
    <row r="7">
      <c r="A7" s="10" t="s">
        <v>22</v>
      </c>
      <c r="B7" s="11">
        <f t="shared" ref="B7:F7" si="4">B4/B6</f>
        <v>4487.788079</v>
      </c>
      <c r="C7" s="12">
        <f t="shared" si="4"/>
        <v>4229.566524</v>
      </c>
      <c r="D7" s="12">
        <f t="shared" si="4"/>
        <v>5116.473958</v>
      </c>
      <c r="E7" s="12">
        <f t="shared" si="4"/>
        <v>4746.58961</v>
      </c>
      <c r="F7" s="12">
        <f t="shared" si="4"/>
        <v>7877.792793</v>
      </c>
      <c r="G7" s="13">
        <f>G4/$G$6</f>
        <v>4819.64647</v>
      </c>
      <c r="H7" s="14">
        <v>4720.0</v>
      </c>
      <c r="I7" s="123">
        <f>H7/G7-1</f>
        <v>-0.02067505799</v>
      </c>
      <c r="J7" s="124">
        <f>J4/J6</f>
        <v>4819.64647</v>
      </c>
      <c r="K7" s="57"/>
      <c r="Q7" s="58"/>
    </row>
    <row r="8">
      <c r="A8" s="10" t="s">
        <v>23</v>
      </c>
      <c r="B8" s="16">
        <f t="shared" ref="B8:F8" si="5">B7/$B$1</f>
        <v>3.011938308</v>
      </c>
      <c r="C8" s="16">
        <f t="shared" si="5"/>
        <v>2.838635251</v>
      </c>
      <c r="D8" s="16">
        <f t="shared" si="5"/>
        <v>3.43387514</v>
      </c>
      <c r="E8" s="16">
        <f t="shared" si="5"/>
        <v>3.185630611</v>
      </c>
      <c r="F8" s="16">
        <f t="shared" si="5"/>
        <v>5.287109257</v>
      </c>
      <c r="G8" s="17">
        <f t="shared" ref="G8:H8" si="6">G5/G$6</f>
        <v>3.234662061</v>
      </c>
      <c r="H8" s="18">
        <f t="shared" si="6"/>
        <v>3.167785235</v>
      </c>
      <c r="I8" s="123"/>
      <c r="J8" s="127"/>
      <c r="K8" s="57"/>
      <c r="Q8" s="58"/>
    </row>
    <row r="9">
      <c r="A9" s="10" t="s">
        <v>47</v>
      </c>
      <c r="B9" s="20">
        <v>31.0</v>
      </c>
      <c r="C9" s="20">
        <v>31.0</v>
      </c>
      <c r="D9" s="20">
        <v>38.0</v>
      </c>
      <c r="E9" s="20">
        <v>42.0</v>
      </c>
      <c r="F9" s="20">
        <v>18.0</v>
      </c>
      <c r="G9" s="22">
        <f t="shared" ref="G9:G10" si="7">SUM(B9:F9)</f>
        <v>160</v>
      </c>
      <c r="H9" s="126">
        <f>H6*H13</f>
        <v>166.4713983</v>
      </c>
      <c r="I9" s="123">
        <f>G9/H9</f>
        <v>0.9611260651</v>
      </c>
      <c r="J9" s="127">
        <f>$G9/$G$1*30</f>
        <v>160</v>
      </c>
      <c r="K9" s="57"/>
      <c r="Q9" s="58"/>
    </row>
    <row r="10">
      <c r="A10" s="10" t="s">
        <v>48</v>
      </c>
      <c r="B10" s="20">
        <v>31.0</v>
      </c>
      <c r="C10" s="20">
        <v>31.0</v>
      </c>
      <c r="D10" s="20">
        <v>38.0</v>
      </c>
      <c r="E10" s="20">
        <v>39.0</v>
      </c>
      <c r="F10" s="20">
        <v>11.0</v>
      </c>
      <c r="G10" s="22">
        <f t="shared" si="7"/>
        <v>150</v>
      </c>
      <c r="H10" s="25"/>
      <c r="I10" s="123"/>
      <c r="J10" s="128"/>
      <c r="K10" s="57"/>
      <c r="Q10" s="58"/>
    </row>
    <row r="11">
      <c r="A11" s="10" t="s">
        <v>25</v>
      </c>
      <c r="B11" s="12">
        <f t="shared" ref="B11:F11" si="8">B4/B9</f>
        <v>65579.6129</v>
      </c>
      <c r="C11" s="12">
        <f t="shared" si="8"/>
        <v>63579.93548</v>
      </c>
      <c r="D11" s="12">
        <f t="shared" si="8"/>
        <v>51703.31579</v>
      </c>
      <c r="E11" s="12">
        <f t="shared" si="8"/>
        <v>43510.40476</v>
      </c>
      <c r="F11" s="12">
        <f t="shared" si="8"/>
        <v>48579.72222</v>
      </c>
      <c r="G11" s="13">
        <f t="shared" ref="G11:G12" si="10">G4/G$9</f>
        <v>54190.9</v>
      </c>
      <c r="H11" s="25">
        <f>H4/H9</f>
        <v>51360.1741</v>
      </c>
      <c r="I11" s="123"/>
      <c r="J11" s="128">
        <f>J4/J9</f>
        <v>54190.9</v>
      </c>
      <c r="K11" s="57"/>
      <c r="Q11" s="58"/>
    </row>
    <row r="12">
      <c r="A12" s="10" t="s">
        <v>26</v>
      </c>
      <c r="B12" s="16">
        <f t="shared" ref="B12:F12" si="9">B11/$B$1</f>
        <v>44.01316302</v>
      </c>
      <c r="C12" s="16">
        <f t="shared" si="9"/>
        <v>42.67109764</v>
      </c>
      <c r="D12" s="16">
        <f t="shared" si="9"/>
        <v>34.70021194</v>
      </c>
      <c r="E12" s="16">
        <f t="shared" si="9"/>
        <v>29.20161393</v>
      </c>
      <c r="F12" s="16">
        <f t="shared" si="9"/>
        <v>32.60384042</v>
      </c>
      <c r="G12" s="17">
        <f t="shared" si="10"/>
        <v>36.36973154</v>
      </c>
      <c r="H12" s="18">
        <f>H5/H$9</f>
        <v>34.4699155</v>
      </c>
      <c r="I12" s="129"/>
      <c r="J12" s="130"/>
      <c r="K12" s="57"/>
      <c r="Q12" s="58"/>
    </row>
    <row r="13">
      <c r="A13" s="10" t="s">
        <v>27</v>
      </c>
      <c r="B13" s="27">
        <f t="shared" ref="B13:G13" si="11">B9/B6</f>
        <v>0.06843267108</v>
      </c>
      <c r="C13" s="27">
        <f t="shared" si="11"/>
        <v>0.06652360515</v>
      </c>
      <c r="D13" s="27">
        <f t="shared" si="11"/>
        <v>0.09895833333</v>
      </c>
      <c r="E13" s="27">
        <f t="shared" si="11"/>
        <v>0.1090909091</v>
      </c>
      <c r="F13" s="27">
        <f t="shared" si="11"/>
        <v>0.1621621622</v>
      </c>
      <c r="G13" s="28">
        <f t="shared" si="11"/>
        <v>0.08893829906</v>
      </c>
      <c r="H13" s="29">
        <v>0.0919</v>
      </c>
      <c r="I13" s="129"/>
      <c r="J13" s="130">
        <f>J9/J6</f>
        <v>0.08893829906</v>
      </c>
      <c r="K13" s="57"/>
      <c r="Q13" s="58"/>
    </row>
    <row r="14">
      <c r="A14" s="10" t="s">
        <v>49</v>
      </c>
      <c r="B14" s="20">
        <v>4.0</v>
      </c>
      <c r="C14" s="20">
        <v>3.0</v>
      </c>
      <c r="D14" s="20">
        <v>6.0</v>
      </c>
      <c r="E14" s="20">
        <v>3.0</v>
      </c>
      <c r="F14" s="27"/>
      <c r="G14" s="22">
        <f>SUM(B14:F14)</f>
        <v>16</v>
      </c>
      <c r="H14" s="29"/>
      <c r="I14" s="129"/>
      <c r="J14" s="130"/>
      <c r="K14" s="57"/>
      <c r="Q14" s="58"/>
    </row>
    <row r="15">
      <c r="A15" s="10" t="s">
        <v>50</v>
      </c>
      <c r="B15" s="11">
        <f t="shared" ref="B15:E15" si="12">B4/B14</f>
        <v>508242</v>
      </c>
      <c r="C15" s="11">
        <f t="shared" si="12"/>
        <v>656992.6667</v>
      </c>
      <c r="D15" s="11">
        <f t="shared" si="12"/>
        <v>327454.3333</v>
      </c>
      <c r="E15" s="11">
        <f t="shared" si="12"/>
        <v>609145.6667</v>
      </c>
      <c r="F15" s="27"/>
      <c r="G15" s="13">
        <f>G4/G14</f>
        <v>541909</v>
      </c>
      <c r="H15" s="29"/>
      <c r="I15" s="129"/>
      <c r="J15" s="130"/>
      <c r="K15" s="57"/>
      <c r="Q15" s="58"/>
    </row>
    <row r="16">
      <c r="A16" s="10" t="s">
        <v>51</v>
      </c>
      <c r="B16" s="16">
        <f t="shared" ref="B16:E16" si="13">B15/$B$1</f>
        <v>341.1020134</v>
      </c>
      <c r="C16" s="16">
        <f t="shared" si="13"/>
        <v>440.9346756</v>
      </c>
      <c r="D16" s="16">
        <f t="shared" si="13"/>
        <v>219.7680089</v>
      </c>
      <c r="E16" s="16">
        <f t="shared" si="13"/>
        <v>408.8225951</v>
      </c>
      <c r="F16" s="16"/>
      <c r="G16" s="17">
        <f>G15/$B$1</f>
        <v>363.6973154</v>
      </c>
      <c r="H16" s="29"/>
      <c r="I16" s="129"/>
      <c r="J16" s="130"/>
      <c r="K16" s="57"/>
      <c r="Q16" s="58"/>
    </row>
    <row r="17">
      <c r="A17" s="10" t="s">
        <v>52</v>
      </c>
      <c r="B17" s="27">
        <f t="shared" ref="B17:E17" si="14">B14/B6</f>
        <v>0.008830022075</v>
      </c>
      <c r="C17" s="27">
        <f t="shared" si="14"/>
        <v>0.00643776824</v>
      </c>
      <c r="D17" s="27">
        <f t="shared" si="14"/>
        <v>0.015625</v>
      </c>
      <c r="E17" s="27">
        <f t="shared" si="14"/>
        <v>0.007792207792</v>
      </c>
      <c r="F17" s="27"/>
      <c r="G17" s="28">
        <f>G14/G6</f>
        <v>0.008893829906</v>
      </c>
      <c r="H17" s="29"/>
      <c r="I17" s="129"/>
      <c r="J17" s="130"/>
      <c r="K17" s="57"/>
      <c r="Q17" s="58"/>
    </row>
    <row r="18">
      <c r="A18" s="10" t="s">
        <v>28</v>
      </c>
      <c r="B18" s="20"/>
      <c r="C18" s="20">
        <v>0.8</v>
      </c>
      <c r="D18" s="20">
        <v>3.5</v>
      </c>
      <c r="E18" s="20">
        <v>1.0</v>
      </c>
      <c r="F18" s="20"/>
      <c r="G18" s="22">
        <f>SUM(B18:F18)</f>
        <v>5.3</v>
      </c>
      <c r="H18" s="31"/>
      <c r="I18" s="129"/>
      <c r="J18" s="131">
        <f>$G18/$G$1*30</f>
        <v>5.3</v>
      </c>
      <c r="K18" s="57"/>
      <c r="Q18" s="58"/>
    </row>
    <row r="19">
      <c r="A19" s="10" t="s">
        <v>53</v>
      </c>
      <c r="B19" s="21" t="str">
        <f>B5/B18</f>
        <v>#DIV/0!</v>
      </c>
      <c r="C19" s="12">
        <f t="shared" ref="C19:F19" si="15">C4/C18</f>
        <v>2463722.5</v>
      </c>
      <c r="D19" s="12">
        <f t="shared" si="15"/>
        <v>561350.2857</v>
      </c>
      <c r="E19" s="12">
        <f t="shared" si="15"/>
        <v>1827437</v>
      </c>
      <c r="F19" s="21" t="str">
        <f t="shared" si="15"/>
        <v>#DIV/0!</v>
      </c>
      <c r="G19" s="13">
        <f t="shared" ref="G19:G20" si="17">G4/G$18</f>
        <v>1635951.698</v>
      </c>
      <c r="H19" s="31"/>
      <c r="I19" s="129"/>
      <c r="J19" s="128">
        <f>J4/J18</f>
        <v>1635951.698</v>
      </c>
      <c r="K19" s="57"/>
      <c r="Q19" s="58"/>
    </row>
    <row r="20">
      <c r="A20" s="10" t="s">
        <v>30</v>
      </c>
      <c r="B20" s="16" t="str">
        <f t="shared" ref="B20:F20" si="16">B19/$B$1</f>
        <v>#DIV/0!</v>
      </c>
      <c r="C20" s="16">
        <f t="shared" si="16"/>
        <v>1653.505034</v>
      </c>
      <c r="D20" s="16">
        <f t="shared" si="16"/>
        <v>376.7451582</v>
      </c>
      <c r="E20" s="16">
        <f t="shared" si="16"/>
        <v>1226.467785</v>
      </c>
      <c r="F20" s="16" t="str">
        <f t="shared" si="16"/>
        <v>#DIV/0!</v>
      </c>
      <c r="G20" s="17">
        <f t="shared" si="17"/>
        <v>1097.95416</v>
      </c>
      <c r="H20" s="31"/>
      <c r="I20" s="129"/>
      <c r="J20" s="132"/>
      <c r="K20" s="57"/>
      <c r="Q20" s="58"/>
    </row>
    <row r="21">
      <c r="A21" s="10" t="s">
        <v>32</v>
      </c>
      <c r="B21" s="27">
        <f t="shared" ref="B21:G21" si="18">B18/B6</f>
        <v>0</v>
      </c>
      <c r="C21" s="27">
        <f t="shared" si="18"/>
        <v>0.001716738197</v>
      </c>
      <c r="D21" s="27">
        <f t="shared" si="18"/>
        <v>0.009114583333</v>
      </c>
      <c r="E21" s="27">
        <f t="shared" si="18"/>
        <v>0.002597402597</v>
      </c>
      <c r="F21" s="27">
        <f t="shared" si="18"/>
        <v>0</v>
      </c>
      <c r="G21" s="28">
        <f t="shared" si="18"/>
        <v>0.002946081156</v>
      </c>
      <c r="H21" s="31"/>
      <c r="I21" s="129"/>
      <c r="J21" s="132">
        <f>J18/J6</f>
        <v>0.002946081156</v>
      </c>
      <c r="K21" s="81"/>
      <c r="L21" s="82"/>
      <c r="M21" s="82"/>
      <c r="N21" s="82"/>
      <c r="O21" s="82"/>
      <c r="P21" s="82"/>
      <c r="Q21" s="83"/>
    </row>
    <row r="23">
      <c r="A23" s="133" t="s">
        <v>54</v>
      </c>
    </row>
    <row r="24">
      <c r="A24" s="7" t="s">
        <v>3</v>
      </c>
      <c r="B24" s="8" t="str">
        <f t="shared" ref="B24:F24" si="19">B3</f>
        <v>01/10 al 07/10</v>
      </c>
      <c r="C24" s="8" t="str">
        <f t="shared" si="19"/>
        <v>08/10 al 14/10</v>
      </c>
      <c r="D24" s="8" t="str">
        <f t="shared" si="19"/>
        <v>15/10 al 21/10</v>
      </c>
      <c r="E24" s="8" t="str">
        <f t="shared" si="19"/>
        <v>22/10 al 28/10</v>
      </c>
      <c r="F24" s="8" t="str">
        <f t="shared" si="19"/>
        <v>29/10 al 31/10</v>
      </c>
      <c r="G24" s="8" t="s">
        <v>43</v>
      </c>
      <c r="H24" s="9" t="s">
        <v>17</v>
      </c>
      <c r="I24" s="121" t="s">
        <v>45</v>
      </c>
      <c r="K24" s="122" t="s">
        <v>102</v>
      </c>
      <c r="L24" s="49"/>
      <c r="M24" s="49"/>
      <c r="N24" s="49"/>
      <c r="O24" s="49"/>
      <c r="P24" s="49"/>
      <c r="Q24" s="50"/>
    </row>
    <row r="25">
      <c r="A25" s="10" t="s">
        <v>19</v>
      </c>
      <c r="B25" s="11">
        <v>380186.0</v>
      </c>
      <c r="C25" s="11">
        <v>415748.0</v>
      </c>
      <c r="D25" s="11">
        <v>415168.0</v>
      </c>
      <c r="E25" s="11">
        <v>402382.0</v>
      </c>
      <c r="F25" s="11">
        <v>187069.0</v>
      </c>
      <c r="G25" s="13">
        <f t="shared" ref="G25:G27" si="21">SUM(B25:F25)</f>
        <v>1800553</v>
      </c>
      <c r="H25" s="134">
        <f>B169</f>
        <v>1650000</v>
      </c>
      <c r="I25" s="124">
        <f>$G25/$G$1*30</f>
        <v>1800553</v>
      </c>
      <c r="J25" s="37">
        <f>(H25-G25)/15</f>
        <v>-10036.86667</v>
      </c>
      <c r="K25" s="57"/>
      <c r="Q25" s="58"/>
    </row>
    <row r="26">
      <c r="A26" s="10" t="s">
        <v>20</v>
      </c>
      <c r="B26" s="16">
        <f t="shared" ref="B26:F26" si="20">B25/$B$1</f>
        <v>255.1583893</v>
      </c>
      <c r="C26" s="16">
        <f t="shared" si="20"/>
        <v>279.0255034</v>
      </c>
      <c r="D26" s="16">
        <f t="shared" si="20"/>
        <v>278.6362416</v>
      </c>
      <c r="E26" s="16">
        <f t="shared" si="20"/>
        <v>270.0550336</v>
      </c>
      <c r="F26" s="16">
        <f t="shared" si="20"/>
        <v>125.5496644</v>
      </c>
      <c r="G26" s="17">
        <f t="shared" si="21"/>
        <v>1208.424832</v>
      </c>
      <c r="H26" s="19">
        <f t="shared" ref="H26:I26" si="22">H25/$B$1</f>
        <v>1107.38255</v>
      </c>
      <c r="I26" s="135">
        <f t="shared" si="22"/>
        <v>1208.424832</v>
      </c>
      <c r="K26" s="57"/>
      <c r="Q26" s="58"/>
    </row>
    <row r="27">
      <c r="A27" s="10" t="s">
        <v>21</v>
      </c>
      <c r="B27" s="20">
        <v>63.0</v>
      </c>
      <c r="C27" s="20">
        <v>56.0</v>
      </c>
      <c r="D27" s="20">
        <v>50.0</v>
      </c>
      <c r="E27" s="20">
        <v>63.0</v>
      </c>
      <c r="F27" s="20">
        <v>25.0</v>
      </c>
      <c r="G27" s="22">
        <f t="shared" si="21"/>
        <v>257</v>
      </c>
      <c r="H27" s="23">
        <f>B172</f>
        <v>220</v>
      </c>
      <c r="I27" s="127">
        <f>$G27/$G$1*30</f>
        <v>257</v>
      </c>
      <c r="K27" s="57"/>
      <c r="Q27" s="58"/>
    </row>
    <row r="28">
      <c r="A28" s="10" t="s">
        <v>22</v>
      </c>
      <c r="B28" s="12">
        <f t="shared" ref="B28:F28" si="23">B25/B27</f>
        <v>6034.698413</v>
      </c>
      <c r="C28" s="12">
        <f t="shared" si="23"/>
        <v>7424.071429</v>
      </c>
      <c r="D28" s="12">
        <f t="shared" si="23"/>
        <v>8303.36</v>
      </c>
      <c r="E28" s="12">
        <f t="shared" si="23"/>
        <v>6387.015873</v>
      </c>
      <c r="F28" s="12">
        <f t="shared" si="23"/>
        <v>7482.76</v>
      </c>
      <c r="G28" s="13">
        <f t="shared" ref="G28:G29" si="26">G25/G$27</f>
        <v>7006.042802</v>
      </c>
      <c r="H28" s="136">
        <f t="shared" ref="H28:I28" si="24">H25/H27</f>
        <v>7500</v>
      </c>
      <c r="I28" s="124">
        <f t="shared" si="24"/>
        <v>7006.042802</v>
      </c>
      <c r="K28" s="57"/>
      <c r="Q28" s="58"/>
    </row>
    <row r="29">
      <c r="A29" s="10" t="s">
        <v>23</v>
      </c>
      <c r="B29" s="16">
        <f t="shared" ref="B29:F29" si="25">B28/$B$1</f>
        <v>4.050133163</v>
      </c>
      <c r="C29" s="16">
        <f t="shared" si="25"/>
        <v>4.982598274</v>
      </c>
      <c r="D29" s="16">
        <f t="shared" si="25"/>
        <v>5.572724832</v>
      </c>
      <c r="E29" s="16">
        <f t="shared" si="25"/>
        <v>4.286587834</v>
      </c>
      <c r="F29" s="16">
        <f t="shared" si="25"/>
        <v>5.021986577</v>
      </c>
      <c r="G29" s="17">
        <f t="shared" si="26"/>
        <v>4.702042149</v>
      </c>
      <c r="H29" s="19">
        <f t="shared" ref="H29:I29" si="27">H28/$B$1</f>
        <v>5.033557047</v>
      </c>
      <c r="I29" s="135">
        <f t="shared" si="27"/>
        <v>4.702042149</v>
      </c>
      <c r="K29" s="57"/>
      <c r="Q29" s="58"/>
    </row>
    <row r="30">
      <c r="A30" s="10" t="s">
        <v>24</v>
      </c>
      <c r="B30" s="20">
        <v>8.0</v>
      </c>
      <c r="C30" s="20">
        <v>8.0</v>
      </c>
      <c r="D30" s="20">
        <v>10.0</v>
      </c>
      <c r="E30" s="20">
        <v>4.0</v>
      </c>
      <c r="F30" s="20">
        <v>4.0</v>
      </c>
      <c r="G30" s="22">
        <f>SUM(B30:F30)</f>
        <v>34</v>
      </c>
      <c r="H30" s="23">
        <f>B174</f>
        <v>26.4</v>
      </c>
      <c r="I30" s="127">
        <f>$G30/$G$1*30</f>
        <v>34</v>
      </c>
      <c r="K30" s="57"/>
      <c r="Q30" s="58"/>
    </row>
    <row r="31">
      <c r="A31" s="10" t="s">
        <v>25</v>
      </c>
      <c r="B31" s="12">
        <f t="shared" ref="B31:F31" si="28">B25/B30</f>
        <v>47523.25</v>
      </c>
      <c r="C31" s="12">
        <f t="shared" si="28"/>
        <v>51968.5</v>
      </c>
      <c r="D31" s="12">
        <f t="shared" si="28"/>
        <v>41516.8</v>
      </c>
      <c r="E31" s="12">
        <f t="shared" si="28"/>
        <v>100595.5</v>
      </c>
      <c r="F31" s="12">
        <f t="shared" si="28"/>
        <v>46767.25</v>
      </c>
      <c r="G31" s="13">
        <f t="shared" ref="G31:G32" si="31">G25/G$30</f>
        <v>52957.44118</v>
      </c>
      <c r="H31" s="136">
        <f t="shared" ref="H31:I31" si="29">H25/H30</f>
        <v>62500</v>
      </c>
      <c r="I31" s="128">
        <f t="shared" si="29"/>
        <v>52957.44118</v>
      </c>
      <c r="K31" s="57"/>
      <c r="Q31" s="58"/>
    </row>
    <row r="32">
      <c r="A32" s="10" t="s">
        <v>26</v>
      </c>
      <c r="B32" s="16">
        <f t="shared" ref="B32:F32" si="30">B31/$B$1</f>
        <v>31.89479866</v>
      </c>
      <c r="C32" s="16">
        <f t="shared" si="30"/>
        <v>34.87818792</v>
      </c>
      <c r="D32" s="16">
        <f t="shared" si="30"/>
        <v>27.86362416</v>
      </c>
      <c r="E32" s="16">
        <f t="shared" si="30"/>
        <v>67.51375839</v>
      </c>
      <c r="F32" s="16">
        <f t="shared" si="30"/>
        <v>31.38741611</v>
      </c>
      <c r="G32" s="17">
        <f t="shared" si="31"/>
        <v>35.54190683</v>
      </c>
      <c r="H32" s="19">
        <f t="shared" ref="H32:I32" si="32">H31/$B$1</f>
        <v>41.94630872</v>
      </c>
      <c r="I32" s="135">
        <f t="shared" si="32"/>
        <v>35.54190683</v>
      </c>
      <c r="K32" s="57"/>
      <c r="Q32" s="58"/>
    </row>
    <row r="33">
      <c r="A33" s="10" t="s">
        <v>27</v>
      </c>
      <c r="B33" s="27">
        <f t="shared" ref="B33:I33" si="33">B30/B27</f>
        <v>0.126984127</v>
      </c>
      <c r="C33" s="27">
        <f t="shared" si="33"/>
        <v>0.1428571429</v>
      </c>
      <c r="D33" s="27">
        <f t="shared" si="33"/>
        <v>0.2</v>
      </c>
      <c r="E33" s="27">
        <f t="shared" si="33"/>
        <v>0.06349206349</v>
      </c>
      <c r="F33" s="27">
        <f t="shared" si="33"/>
        <v>0.16</v>
      </c>
      <c r="G33" s="28">
        <f t="shared" si="33"/>
        <v>0.1322957198</v>
      </c>
      <c r="H33" s="137">
        <f t="shared" si="33"/>
        <v>0.12</v>
      </c>
      <c r="I33" s="130">
        <f t="shared" si="33"/>
        <v>0.1322957198</v>
      </c>
      <c r="K33" s="57"/>
      <c r="Q33" s="58"/>
    </row>
    <row r="34">
      <c r="A34" s="10" t="s">
        <v>28</v>
      </c>
      <c r="B34" s="20"/>
      <c r="C34" s="20"/>
      <c r="D34" s="20"/>
      <c r="E34" s="21"/>
      <c r="F34" s="21"/>
      <c r="G34" s="22">
        <f>SUM(B34:D34)</f>
        <v>0</v>
      </c>
      <c r="H34" s="31"/>
      <c r="I34" s="131">
        <f>$G34/$G$1*30</f>
        <v>0</v>
      </c>
      <c r="K34" s="57"/>
      <c r="Q34" s="58"/>
    </row>
    <row r="35">
      <c r="A35" s="10" t="s">
        <v>29</v>
      </c>
      <c r="B35" s="21"/>
      <c r="C35" s="21"/>
      <c r="D35" s="21"/>
      <c r="E35" s="21"/>
      <c r="F35" s="21"/>
      <c r="G35" s="22"/>
      <c r="H35" s="31"/>
      <c r="I35" s="138" t="str">
        <f>I25/I34</f>
        <v>#DIV/0!</v>
      </c>
      <c r="K35" s="57"/>
      <c r="Q35" s="58"/>
    </row>
    <row r="36">
      <c r="A36" s="10" t="s">
        <v>30</v>
      </c>
      <c r="B36" s="16">
        <f t="shared" ref="B36:D36" si="34">B35/$B$1</f>
        <v>0</v>
      </c>
      <c r="C36" s="16">
        <f t="shared" si="34"/>
        <v>0</v>
      </c>
      <c r="D36" s="16">
        <f t="shared" si="34"/>
        <v>0</v>
      </c>
      <c r="E36" s="21"/>
      <c r="F36" s="21"/>
      <c r="G36" s="22"/>
      <c r="H36" s="31"/>
      <c r="I36" s="132"/>
      <c r="K36" s="57"/>
      <c r="Q36" s="58"/>
    </row>
    <row r="37">
      <c r="A37" s="10" t="s">
        <v>32</v>
      </c>
      <c r="B37" s="21"/>
      <c r="C37" s="21"/>
      <c r="D37" s="21"/>
      <c r="E37" s="21"/>
      <c r="F37" s="21"/>
      <c r="G37" s="22"/>
      <c r="H37" s="31"/>
      <c r="I37" s="132">
        <f>I34/I27</f>
        <v>0</v>
      </c>
      <c r="K37" s="81"/>
      <c r="L37" s="82"/>
      <c r="M37" s="82"/>
      <c r="N37" s="82"/>
      <c r="O37" s="82"/>
      <c r="P37" s="82"/>
      <c r="Q37" s="83"/>
    </row>
    <row r="40">
      <c r="A40" s="139" t="s">
        <v>55</v>
      </c>
    </row>
    <row r="41">
      <c r="A41" s="7" t="s">
        <v>3</v>
      </c>
      <c r="B41" s="8" t="str">
        <f t="shared" ref="B41:F41" si="35">B3</f>
        <v>01/10 al 07/10</v>
      </c>
      <c r="C41" s="8" t="str">
        <f t="shared" si="35"/>
        <v>08/10 al 14/10</v>
      </c>
      <c r="D41" s="8" t="str">
        <f t="shared" si="35"/>
        <v>15/10 al 21/10</v>
      </c>
      <c r="E41" s="8" t="str">
        <f t="shared" si="35"/>
        <v>22/10 al 28/10</v>
      </c>
      <c r="F41" s="8" t="str">
        <f t="shared" si="35"/>
        <v>29/10 al 31/10</v>
      </c>
      <c r="G41" s="8" t="s">
        <v>43</v>
      </c>
      <c r="H41" s="9" t="s">
        <v>17</v>
      </c>
      <c r="I41" s="121" t="s">
        <v>45</v>
      </c>
      <c r="K41" s="140" t="s">
        <v>103</v>
      </c>
      <c r="L41" s="49"/>
      <c r="M41" s="49"/>
      <c r="N41" s="49"/>
      <c r="O41" s="49"/>
      <c r="P41" s="49"/>
      <c r="Q41" s="50"/>
    </row>
    <row r="42">
      <c r="A42" s="10" t="s">
        <v>19</v>
      </c>
      <c r="B42" s="11">
        <v>356668.0</v>
      </c>
      <c r="C42" s="11">
        <v>359096.0</v>
      </c>
      <c r="D42" s="11">
        <f>209229+42698+104466</f>
        <v>356393</v>
      </c>
      <c r="E42" s="11">
        <f>99134+200977+40420</f>
        <v>340531</v>
      </c>
      <c r="F42" s="11">
        <f>46949+94100+17423</f>
        <v>158472</v>
      </c>
      <c r="G42" s="13">
        <f t="shared" ref="G42:G44" si="37">SUM(B42:F42)</f>
        <v>1571160</v>
      </c>
      <c r="H42" s="134">
        <f>C169</f>
        <v>1500000</v>
      </c>
      <c r="I42" s="124">
        <f>$G42/$G$1*30</f>
        <v>1571160</v>
      </c>
      <c r="J42" s="37">
        <f>(H42-G42)/15</f>
        <v>-4744</v>
      </c>
      <c r="K42" s="57"/>
      <c r="Q42" s="58"/>
    </row>
    <row r="43">
      <c r="A43" s="10" t="s">
        <v>20</v>
      </c>
      <c r="B43" s="16">
        <f t="shared" ref="B43:F43" si="36">B42/$B$1</f>
        <v>239.3744966</v>
      </c>
      <c r="C43" s="16">
        <f t="shared" si="36"/>
        <v>241.0040268</v>
      </c>
      <c r="D43" s="16">
        <f t="shared" si="36"/>
        <v>239.1899329</v>
      </c>
      <c r="E43" s="16">
        <f t="shared" si="36"/>
        <v>228.5442953</v>
      </c>
      <c r="F43" s="16">
        <f t="shared" si="36"/>
        <v>106.357047</v>
      </c>
      <c r="G43" s="17">
        <f t="shared" si="37"/>
        <v>1054.469799</v>
      </c>
      <c r="H43" s="19">
        <f>H42/$B$1</f>
        <v>1006.711409</v>
      </c>
      <c r="I43" s="127"/>
      <c r="K43" s="57"/>
      <c r="Q43" s="58"/>
    </row>
    <row r="44">
      <c r="A44" s="10" t="s">
        <v>21</v>
      </c>
      <c r="B44" s="20">
        <v>73.0</v>
      </c>
      <c r="C44" s="20">
        <v>62.0</v>
      </c>
      <c r="D44" s="20">
        <v>77.0</v>
      </c>
      <c r="E44" s="20">
        <v>68.0</v>
      </c>
      <c r="F44" s="20">
        <v>21.0</v>
      </c>
      <c r="G44" s="22">
        <f t="shared" si="37"/>
        <v>301</v>
      </c>
      <c r="H44" s="23">
        <f>C172</f>
        <v>250</v>
      </c>
      <c r="I44" s="127">
        <f>$G44/$G$1*30</f>
        <v>301</v>
      </c>
      <c r="K44" s="57"/>
      <c r="Q44" s="58"/>
    </row>
    <row r="45">
      <c r="A45" s="10" t="s">
        <v>22</v>
      </c>
      <c r="B45" s="12">
        <f t="shared" ref="B45:F45" si="38">B42/B44</f>
        <v>4885.863014</v>
      </c>
      <c r="C45" s="12">
        <f t="shared" si="38"/>
        <v>5791.870968</v>
      </c>
      <c r="D45" s="12">
        <f t="shared" si="38"/>
        <v>4628.480519</v>
      </c>
      <c r="E45" s="12">
        <f t="shared" si="38"/>
        <v>5007.808824</v>
      </c>
      <c r="F45" s="12">
        <f t="shared" si="38"/>
        <v>7546.285714</v>
      </c>
      <c r="G45" s="13">
        <f t="shared" ref="G45:G46" si="41">G42/G$44</f>
        <v>5219.800664</v>
      </c>
      <c r="H45" s="136">
        <f t="shared" ref="H45:I45" si="39">H42/H44</f>
        <v>6000</v>
      </c>
      <c r="I45" s="124">
        <f t="shared" si="39"/>
        <v>5219.800664</v>
      </c>
      <c r="K45" s="57"/>
      <c r="Q45" s="58"/>
    </row>
    <row r="46">
      <c r="A46" s="10" t="s">
        <v>23</v>
      </c>
      <c r="B46" s="16">
        <f t="shared" ref="B46:F46" si="40">B45/$B$1</f>
        <v>3.279102694</v>
      </c>
      <c r="C46" s="16">
        <f t="shared" si="40"/>
        <v>3.887161723</v>
      </c>
      <c r="D46" s="16">
        <f t="shared" si="40"/>
        <v>3.106362765</v>
      </c>
      <c r="E46" s="16">
        <f t="shared" si="40"/>
        <v>3.360945519</v>
      </c>
      <c r="F46" s="16">
        <f t="shared" si="40"/>
        <v>5.064621285</v>
      </c>
      <c r="G46" s="17">
        <f t="shared" si="41"/>
        <v>3.503221922</v>
      </c>
      <c r="H46" s="19">
        <f>H45/$B$1</f>
        <v>4.026845638</v>
      </c>
      <c r="I46" s="127"/>
      <c r="K46" s="57"/>
      <c r="Q46" s="58"/>
    </row>
    <row r="47">
      <c r="A47" s="10" t="s">
        <v>24</v>
      </c>
      <c r="B47" s="20">
        <v>3.0</v>
      </c>
      <c r="C47" s="20">
        <v>1.0</v>
      </c>
      <c r="D47" s="20">
        <v>8.0</v>
      </c>
      <c r="E47" s="20">
        <v>4.0</v>
      </c>
      <c r="F47" s="20">
        <v>4.0</v>
      </c>
      <c r="G47" s="22">
        <f>SUM(B47:F47)</f>
        <v>20</v>
      </c>
      <c r="H47" s="23">
        <f>C174</f>
        <v>17.5</v>
      </c>
      <c r="I47" s="127">
        <f>$G47/$G$1*30</f>
        <v>20</v>
      </c>
      <c r="K47" s="57"/>
      <c r="Q47" s="58"/>
    </row>
    <row r="48">
      <c r="A48" s="10" t="s">
        <v>25</v>
      </c>
      <c r="B48" s="12">
        <f t="shared" ref="B48:F48" si="42">B42/B47</f>
        <v>118889.3333</v>
      </c>
      <c r="C48" s="12">
        <f t="shared" si="42"/>
        <v>359096</v>
      </c>
      <c r="D48" s="12">
        <f t="shared" si="42"/>
        <v>44549.125</v>
      </c>
      <c r="E48" s="12">
        <f t="shared" si="42"/>
        <v>85132.75</v>
      </c>
      <c r="F48" s="12">
        <f t="shared" si="42"/>
        <v>39618</v>
      </c>
      <c r="G48" s="13">
        <f t="shared" ref="G48:G49" si="45">G42/G$47</f>
        <v>78558</v>
      </c>
      <c r="H48" s="136">
        <f t="shared" ref="H48:I48" si="43">H42/H47</f>
        <v>85714.28571</v>
      </c>
      <c r="I48" s="128">
        <f t="shared" si="43"/>
        <v>78558</v>
      </c>
      <c r="K48" s="57"/>
      <c r="Q48" s="58"/>
    </row>
    <row r="49">
      <c r="A49" s="10" t="s">
        <v>26</v>
      </c>
      <c r="B49" s="16">
        <f t="shared" ref="B49:F49" si="44">B48/$B$1</f>
        <v>79.79149888</v>
      </c>
      <c r="C49" s="16">
        <f t="shared" si="44"/>
        <v>241.0040268</v>
      </c>
      <c r="D49" s="16">
        <f t="shared" si="44"/>
        <v>29.89874161</v>
      </c>
      <c r="E49" s="16">
        <f t="shared" si="44"/>
        <v>57.13607383</v>
      </c>
      <c r="F49" s="16">
        <f t="shared" si="44"/>
        <v>26.58926174</v>
      </c>
      <c r="G49" s="17">
        <f t="shared" si="45"/>
        <v>52.72348993</v>
      </c>
      <c r="H49" s="19">
        <f>H48/$B$1</f>
        <v>57.52636625</v>
      </c>
      <c r="I49" s="130"/>
      <c r="K49" s="57"/>
      <c r="Q49" s="58"/>
    </row>
    <row r="50">
      <c r="A50" s="10" t="s">
        <v>27</v>
      </c>
      <c r="B50" s="27">
        <f t="shared" ref="B50:I50" si="46">B47/B44</f>
        <v>0.04109589041</v>
      </c>
      <c r="C50" s="27">
        <f t="shared" si="46"/>
        <v>0.01612903226</v>
      </c>
      <c r="D50" s="27">
        <f t="shared" si="46"/>
        <v>0.1038961039</v>
      </c>
      <c r="E50" s="27">
        <f t="shared" si="46"/>
        <v>0.05882352941</v>
      </c>
      <c r="F50" s="27">
        <f t="shared" si="46"/>
        <v>0.1904761905</v>
      </c>
      <c r="G50" s="28">
        <f t="shared" si="46"/>
        <v>0.06644518272</v>
      </c>
      <c r="H50" s="137">
        <f t="shared" si="46"/>
        <v>0.07</v>
      </c>
      <c r="I50" s="130">
        <f t="shared" si="46"/>
        <v>0.06644518272</v>
      </c>
      <c r="K50" s="57"/>
      <c r="Q50" s="58"/>
    </row>
    <row r="51">
      <c r="A51" s="10" t="s">
        <v>28</v>
      </c>
      <c r="B51" s="20"/>
      <c r="C51" s="20"/>
      <c r="D51" s="20"/>
      <c r="E51" s="21"/>
      <c r="F51" s="21"/>
      <c r="G51" s="22">
        <f>SUM(B51:D51)</f>
        <v>0</v>
      </c>
      <c r="H51" s="31"/>
      <c r="I51" s="131">
        <f>$G51/$G$1*30</f>
        <v>0</v>
      </c>
      <c r="K51" s="57"/>
      <c r="Q51" s="58"/>
    </row>
    <row r="52">
      <c r="A52" s="10" t="s">
        <v>29</v>
      </c>
      <c r="B52" s="21"/>
      <c r="C52" s="21"/>
      <c r="D52" s="21"/>
      <c r="E52" s="21"/>
      <c r="F52" s="21"/>
      <c r="G52" s="22"/>
      <c r="H52" s="31"/>
      <c r="I52" s="138" t="str">
        <f>I42/I51</f>
        <v>#DIV/0!</v>
      </c>
      <c r="K52" s="57"/>
      <c r="Q52" s="58"/>
    </row>
    <row r="53">
      <c r="A53" s="10" t="s">
        <v>30</v>
      </c>
      <c r="B53" s="16">
        <f t="shared" ref="B53:D53" si="47">B52/$B$1</f>
        <v>0</v>
      </c>
      <c r="C53" s="16">
        <f t="shared" si="47"/>
        <v>0</v>
      </c>
      <c r="D53" s="16">
        <f t="shared" si="47"/>
        <v>0</v>
      </c>
      <c r="E53" s="21"/>
      <c r="F53" s="21"/>
      <c r="G53" s="22"/>
      <c r="H53" s="31"/>
      <c r="I53" s="132"/>
      <c r="K53" s="57"/>
      <c r="Q53" s="58"/>
    </row>
    <row r="54">
      <c r="A54" s="10" t="s">
        <v>32</v>
      </c>
      <c r="B54" s="21"/>
      <c r="C54" s="21"/>
      <c r="D54" s="21"/>
      <c r="E54" s="21"/>
      <c r="F54" s="21"/>
      <c r="G54" s="22"/>
      <c r="H54" s="31"/>
      <c r="I54" s="132">
        <f>I51/I44</f>
        <v>0</v>
      </c>
      <c r="K54" s="81"/>
      <c r="L54" s="82"/>
      <c r="M54" s="82"/>
      <c r="N54" s="82"/>
      <c r="O54" s="82"/>
      <c r="P54" s="82"/>
      <c r="Q54" s="83"/>
    </row>
    <row r="57">
      <c r="A57" s="141" t="s">
        <v>56</v>
      </c>
    </row>
    <row r="58">
      <c r="A58" s="7" t="s">
        <v>3</v>
      </c>
      <c r="B58" s="8" t="str">
        <f t="shared" ref="B58:F58" si="48">B3</f>
        <v>01/10 al 07/10</v>
      </c>
      <c r="C58" s="8" t="str">
        <f t="shared" si="48"/>
        <v>08/10 al 14/10</v>
      </c>
      <c r="D58" s="8" t="str">
        <f t="shared" si="48"/>
        <v>15/10 al 21/10</v>
      </c>
      <c r="E58" s="8" t="str">
        <f t="shared" si="48"/>
        <v>22/10 al 28/10</v>
      </c>
      <c r="F58" s="8" t="str">
        <f t="shared" si="48"/>
        <v>29/10 al 31/10</v>
      </c>
      <c r="G58" s="8" t="s">
        <v>43</v>
      </c>
      <c r="H58" s="9" t="s">
        <v>17</v>
      </c>
      <c r="I58" s="121" t="s">
        <v>45</v>
      </c>
      <c r="K58" s="140" t="s">
        <v>104</v>
      </c>
      <c r="L58" s="49"/>
      <c r="M58" s="49"/>
      <c r="N58" s="49"/>
      <c r="O58" s="49"/>
      <c r="P58" s="49"/>
      <c r="Q58" s="50"/>
    </row>
    <row r="59">
      <c r="A59" s="10" t="s">
        <v>19</v>
      </c>
      <c r="B59" s="11">
        <v>834169.0</v>
      </c>
      <c r="C59" s="11">
        <v>812875.0</v>
      </c>
      <c r="D59" s="11">
        <f>486957+314165</f>
        <v>801122</v>
      </c>
      <c r="E59" s="11">
        <f>462531+297403</f>
        <v>759934</v>
      </c>
      <c r="F59" s="11">
        <f>218069+142888</f>
        <v>360957</v>
      </c>
      <c r="G59" s="13">
        <f t="shared" ref="G59:G61" si="50">SUM(B59:F59)</f>
        <v>3569057</v>
      </c>
      <c r="H59" s="134">
        <f>D169</f>
        <v>3600000</v>
      </c>
      <c r="I59" s="124">
        <f>$G59/$G$1*30</f>
        <v>3569057</v>
      </c>
      <c r="J59" s="37">
        <f>(H59-G59)/15</f>
        <v>2062.866667</v>
      </c>
      <c r="K59" s="57"/>
      <c r="Q59" s="58"/>
    </row>
    <row r="60">
      <c r="A60" s="10" t="s">
        <v>20</v>
      </c>
      <c r="B60" s="16">
        <f t="shared" ref="B60:F60" si="49">B59/$B$1</f>
        <v>559.8449664</v>
      </c>
      <c r="C60" s="16">
        <f t="shared" si="49"/>
        <v>545.5536913</v>
      </c>
      <c r="D60" s="16">
        <f t="shared" si="49"/>
        <v>537.6657718</v>
      </c>
      <c r="E60" s="16">
        <f t="shared" si="49"/>
        <v>510.0228188</v>
      </c>
      <c r="F60" s="16">
        <f t="shared" si="49"/>
        <v>242.2530201</v>
      </c>
      <c r="G60" s="17">
        <f t="shared" si="50"/>
        <v>2395.340268</v>
      </c>
      <c r="H60" s="19">
        <f>H59/$B$1</f>
        <v>2416.107383</v>
      </c>
      <c r="I60" s="127"/>
      <c r="K60" s="57"/>
      <c r="Q60" s="58"/>
    </row>
    <row r="61">
      <c r="A61" s="10" t="s">
        <v>21</v>
      </c>
      <c r="B61" s="20">
        <v>141.0</v>
      </c>
      <c r="C61" s="20">
        <v>206.0</v>
      </c>
      <c r="D61" s="20">
        <v>128.0</v>
      </c>
      <c r="E61" s="20">
        <v>135.0</v>
      </c>
      <c r="F61" s="20">
        <v>48.0</v>
      </c>
      <c r="G61" s="22">
        <f t="shared" si="50"/>
        <v>658</v>
      </c>
      <c r="H61" s="23">
        <f>D172</f>
        <v>857.1428571</v>
      </c>
      <c r="I61" s="127">
        <f>$G61/$G$1*30</f>
        <v>658</v>
      </c>
      <c r="K61" s="57"/>
      <c r="Q61" s="58"/>
    </row>
    <row r="62">
      <c r="A62" s="10" t="s">
        <v>22</v>
      </c>
      <c r="B62" s="12">
        <f t="shared" ref="B62:F62" si="51">B59/B61</f>
        <v>5916.092199</v>
      </c>
      <c r="C62" s="12">
        <f t="shared" si="51"/>
        <v>3945.995146</v>
      </c>
      <c r="D62" s="12">
        <f t="shared" si="51"/>
        <v>6258.765625</v>
      </c>
      <c r="E62" s="12">
        <f t="shared" si="51"/>
        <v>5629.140741</v>
      </c>
      <c r="F62" s="12">
        <f t="shared" si="51"/>
        <v>7519.9375</v>
      </c>
      <c r="G62" s="13">
        <f t="shared" ref="G62:G63" si="54">G59/G$61</f>
        <v>5424.098784</v>
      </c>
      <c r="H62" s="136">
        <f t="shared" ref="H62:I62" si="52">H59/H61</f>
        <v>4200</v>
      </c>
      <c r="I62" s="124">
        <f t="shared" si="52"/>
        <v>5424.098784</v>
      </c>
      <c r="K62" s="57"/>
      <c r="Q62" s="58"/>
    </row>
    <row r="63">
      <c r="A63" s="10" t="s">
        <v>23</v>
      </c>
      <c r="B63" s="16">
        <f t="shared" ref="B63:F63" si="53">B62/$B$1</f>
        <v>3.970531677</v>
      </c>
      <c r="C63" s="16">
        <f t="shared" si="53"/>
        <v>2.64831889</v>
      </c>
      <c r="D63" s="16">
        <f t="shared" si="53"/>
        <v>4.200513842</v>
      </c>
      <c r="E63" s="16">
        <f t="shared" si="53"/>
        <v>3.777946806</v>
      </c>
      <c r="F63" s="16">
        <f t="shared" si="53"/>
        <v>5.046937919</v>
      </c>
      <c r="G63" s="17">
        <f t="shared" si="54"/>
        <v>3.640334754</v>
      </c>
      <c r="H63" s="19">
        <f>H62/$B$1</f>
        <v>2.818791946</v>
      </c>
      <c r="I63" s="127"/>
      <c r="K63" s="57"/>
      <c r="Q63" s="58"/>
    </row>
    <row r="64">
      <c r="A64" s="10" t="s">
        <v>24</v>
      </c>
      <c r="B64" s="20">
        <v>10.0</v>
      </c>
      <c r="C64" s="20">
        <v>10.0</v>
      </c>
      <c r="D64" s="20">
        <v>7.0</v>
      </c>
      <c r="E64" s="20">
        <v>18.0</v>
      </c>
      <c r="F64" s="20">
        <v>6.0</v>
      </c>
      <c r="G64" s="22">
        <f>SUM(B64:F64)</f>
        <v>51</v>
      </c>
      <c r="H64" s="23">
        <f>D174</f>
        <v>85.71428571</v>
      </c>
      <c r="I64" s="127">
        <f>$G64/$G$1*30</f>
        <v>51</v>
      </c>
      <c r="K64" s="57"/>
      <c r="Q64" s="58"/>
    </row>
    <row r="65">
      <c r="A65" s="10" t="s">
        <v>25</v>
      </c>
      <c r="B65" s="12">
        <f t="shared" ref="B65:F65" si="55">B59/B64</f>
        <v>83416.9</v>
      </c>
      <c r="C65" s="12">
        <f t="shared" si="55"/>
        <v>81287.5</v>
      </c>
      <c r="D65" s="12">
        <f t="shared" si="55"/>
        <v>114446</v>
      </c>
      <c r="E65" s="12">
        <f t="shared" si="55"/>
        <v>42218.55556</v>
      </c>
      <c r="F65" s="12">
        <f t="shared" si="55"/>
        <v>60159.5</v>
      </c>
      <c r="G65" s="13">
        <f t="shared" ref="G65:G66" si="58">G59/G$64</f>
        <v>69981.5098</v>
      </c>
      <c r="H65" s="136">
        <f t="shared" ref="H65:I65" si="56">H59/H64</f>
        <v>42000</v>
      </c>
      <c r="I65" s="128">
        <f t="shared" si="56"/>
        <v>69981.5098</v>
      </c>
      <c r="K65" s="57"/>
      <c r="Q65" s="58"/>
    </row>
    <row r="66">
      <c r="A66" s="10" t="s">
        <v>26</v>
      </c>
      <c r="B66" s="16">
        <f t="shared" ref="B66:F66" si="57">B65/$B$1</f>
        <v>55.98449664</v>
      </c>
      <c r="C66" s="16">
        <f t="shared" si="57"/>
        <v>54.55536913</v>
      </c>
      <c r="D66" s="16">
        <f t="shared" si="57"/>
        <v>76.80939597</v>
      </c>
      <c r="E66" s="16">
        <f t="shared" si="57"/>
        <v>28.33460104</v>
      </c>
      <c r="F66" s="16">
        <f t="shared" si="57"/>
        <v>40.37550336</v>
      </c>
      <c r="G66" s="17">
        <f t="shared" si="58"/>
        <v>46.96745624</v>
      </c>
      <c r="H66" s="19">
        <f>H65/$B$1</f>
        <v>28.18791946</v>
      </c>
      <c r="I66" s="130"/>
      <c r="K66" s="57"/>
      <c r="Q66" s="58"/>
    </row>
    <row r="67">
      <c r="A67" s="10" t="s">
        <v>27</v>
      </c>
      <c r="B67" s="27">
        <f t="shared" ref="B67:I67" si="59">B64/B61</f>
        <v>0.07092198582</v>
      </c>
      <c r="C67" s="27">
        <f t="shared" si="59"/>
        <v>0.04854368932</v>
      </c>
      <c r="D67" s="27">
        <f t="shared" si="59"/>
        <v>0.0546875</v>
      </c>
      <c r="E67" s="27">
        <f t="shared" si="59"/>
        <v>0.1333333333</v>
      </c>
      <c r="F67" s="27">
        <f t="shared" si="59"/>
        <v>0.125</v>
      </c>
      <c r="G67" s="28">
        <f t="shared" si="59"/>
        <v>0.07750759878</v>
      </c>
      <c r="H67" s="137">
        <f t="shared" si="59"/>
        <v>0.1</v>
      </c>
      <c r="I67" s="130">
        <f t="shared" si="59"/>
        <v>0.07750759878</v>
      </c>
      <c r="K67" s="57"/>
      <c r="Q67" s="58"/>
    </row>
    <row r="68">
      <c r="A68" s="10" t="s">
        <v>28</v>
      </c>
      <c r="B68" s="20"/>
      <c r="C68" s="20">
        <v>1.0</v>
      </c>
      <c r="D68" s="20"/>
      <c r="E68" s="20">
        <v>1.0</v>
      </c>
      <c r="F68" s="21"/>
      <c r="G68" s="32">
        <v>3.0</v>
      </c>
      <c r="H68" s="31"/>
      <c r="I68" s="131">
        <f>$G68/$G$1*30</f>
        <v>3</v>
      </c>
      <c r="K68" s="57"/>
      <c r="Q68" s="58"/>
    </row>
    <row r="69">
      <c r="A69" s="10" t="s">
        <v>29</v>
      </c>
      <c r="B69" s="21"/>
      <c r="C69" s="12">
        <f>C59/C68</f>
        <v>812875</v>
      </c>
      <c r="D69" s="21"/>
      <c r="E69" s="12">
        <f>E59/E68</f>
        <v>759934</v>
      </c>
      <c r="F69" s="21"/>
      <c r="G69" s="13">
        <f>G59/G68</f>
        <v>1189685.667</v>
      </c>
      <c r="H69" s="31"/>
      <c r="I69" s="128">
        <f>I59/I68</f>
        <v>1189685.667</v>
      </c>
      <c r="K69" s="57"/>
      <c r="Q69" s="58"/>
    </row>
    <row r="70">
      <c r="A70" s="10" t="s">
        <v>30</v>
      </c>
      <c r="B70" s="16">
        <f t="shared" ref="B70:E70" si="60">B69/$B$1</f>
        <v>0</v>
      </c>
      <c r="C70" s="16">
        <f t="shared" si="60"/>
        <v>545.5536913</v>
      </c>
      <c r="D70" s="16">
        <f t="shared" si="60"/>
        <v>0</v>
      </c>
      <c r="E70" s="16">
        <f t="shared" si="60"/>
        <v>510.0228188</v>
      </c>
      <c r="F70" s="21"/>
      <c r="G70" s="17">
        <f>G69/$B$1</f>
        <v>798.4467562</v>
      </c>
      <c r="H70" s="31"/>
      <c r="I70" s="132"/>
      <c r="K70" s="57"/>
      <c r="Q70" s="58"/>
    </row>
    <row r="71">
      <c r="A71" s="10" t="s">
        <v>32</v>
      </c>
      <c r="B71" s="21"/>
      <c r="C71" s="21"/>
      <c r="D71" s="21"/>
      <c r="E71" s="21"/>
      <c r="F71" s="21"/>
      <c r="G71" s="22"/>
      <c r="H71" s="31"/>
      <c r="I71" s="132">
        <f>I68/I61</f>
        <v>0.004559270517</v>
      </c>
      <c r="K71" s="81"/>
      <c r="L71" s="82"/>
      <c r="M71" s="82"/>
      <c r="N71" s="82"/>
      <c r="O71" s="82"/>
      <c r="P71" s="82"/>
      <c r="Q71" s="83"/>
    </row>
    <row r="74">
      <c r="A74" s="142" t="s">
        <v>57</v>
      </c>
    </row>
    <row r="75">
      <c r="A75" s="7" t="s">
        <v>3</v>
      </c>
      <c r="B75" s="8" t="str">
        <f t="shared" ref="B75:F75" si="61">B3</f>
        <v>01/10 al 07/10</v>
      </c>
      <c r="C75" s="8" t="str">
        <f t="shared" si="61"/>
        <v>08/10 al 14/10</v>
      </c>
      <c r="D75" s="8" t="str">
        <f t="shared" si="61"/>
        <v>15/10 al 21/10</v>
      </c>
      <c r="E75" s="8" t="str">
        <f t="shared" si="61"/>
        <v>22/10 al 28/10</v>
      </c>
      <c r="F75" s="8" t="str">
        <f t="shared" si="61"/>
        <v>29/10 al 31/10</v>
      </c>
      <c r="G75" s="8" t="s">
        <v>43</v>
      </c>
      <c r="H75" s="9" t="s">
        <v>17</v>
      </c>
      <c r="I75" s="121" t="s">
        <v>45</v>
      </c>
    </row>
    <row r="76">
      <c r="A76" s="10" t="s">
        <v>19</v>
      </c>
      <c r="B76" s="11">
        <v>189978.0</v>
      </c>
      <c r="C76" s="11">
        <v>160104.0</v>
      </c>
      <c r="D76" s="11">
        <v>173387.0</v>
      </c>
      <c r="E76" s="11">
        <v>166521.0</v>
      </c>
      <c r="F76" s="11">
        <v>78061.0</v>
      </c>
      <c r="G76" s="13">
        <f t="shared" ref="G76:G78" si="63">SUM(B76:F76)</f>
        <v>768051</v>
      </c>
      <c r="H76" s="134">
        <f>E169</f>
        <v>750000</v>
      </c>
      <c r="I76" s="124">
        <f>$G76/$G$1*30</f>
        <v>768051</v>
      </c>
      <c r="J76" s="37">
        <f>(H76-G76)/15</f>
        <v>-1203.4</v>
      </c>
    </row>
    <row r="77">
      <c r="A77" s="10" t="s">
        <v>20</v>
      </c>
      <c r="B77" s="16">
        <f t="shared" ref="B77:F77" si="62">B76/$B$1</f>
        <v>127.5020134</v>
      </c>
      <c r="C77" s="16">
        <f t="shared" si="62"/>
        <v>107.452349</v>
      </c>
      <c r="D77" s="16">
        <f t="shared" si="62"/>
        <v>116.3671141</v>
      </c>
      <c r="E77" s="16">
        <f t="shared" si="62"/>
        <v>111.7590604</v>
      </c>
      <c r="F77" s="16">
        <f t="shared" si="62"/>
        <v>52.38993289</v>
      </c>
      <c r="G77" s="17">
        <f t="shared" si="63"/>
        <v>515.4704698</v>
      </c>
      <c r="H77" s="19">
        <f>H76/$B$1</f>
        <v>503.3557047</v>
      </c>
      <c r="I77" s="127"/>
    </row>
    <row r="78">
      <c r="A78" s="10" t="s">
        <v>21</v>
      </c>
      <c r="B78" s="20">
        <v>71.0</v>
      </c>
      <c r="C78" s="20">
        <v>53.0</v>
      </c>
      <c r="D78" s="20">
        <v>29.0</v>
      </c>
      <c r="E78" s="20">
        <v>32.0</v>
      </c>
      <c r="F78" s="20">
        <v>7.0</v>
      </c>
      <c r="G78" s="22">
        <f t="shared" si="63"/>
        <v>192</v>
      </c>
      <c r="H78" s="23">
        <f>E172</f>
        <v>214.2857143</v>
      </c>
      <c r="I78" s="127">
        <f>$G78/$G$1*30</f>
        <v>192</v>
      </c>
    </row>
    <row r="79">
      <c r="A79" s="10" t="s">
        <v>22</v>
      </c>
      <c r="B79" s="12">
        <f t="shared" ref="B79:F79" si="64">B76/B78</f>
        <v>2675.746479</v>
      </c>
      <c r="C79" s="12">
        <f t="shared" si="64"/>
        <v>3020.830189</v>
      </c>
      <c r="D79" s="12">
        <f t="shared" si="64"/>
        <v>5978.862069</v>
      </c>
      <c r="E79" s="12">
        <f t="shared" si="64"/>
        <v>5203.78125</v>
      </c>
      <c r="F79" s="12">
        <f t="shared" si="64"/>
        <v>11151.57143</v>
      </c>
      <c r="G79" s="13">
        <f t="shared" ref="G79:G80" si="67">G76/G$78</f>
        <v>4000.265625</v>
      </c>
      <c r="H79" s="136">
        <f t="shared" ref="H79:I79" si="65">H76/H78</f>
        <v>3500</v>
      </c>
      <c r="I79" s="124">
        <f t="shared" si="65"/>
        <v>4000.265625</v>
      </c>
    </row>
    <row r="80">
      <c r="A80" s="10" t="s">
        <v>23</v>
      </c>
      <c r="B80" s="16">
        <f t="shared" ref="B80:F80" si="66">B79/$B$1</f>
        <v>1.795803006</v>
      </c>
      <c r="C80" s="16">
        <f t="shared" si="66"/>
        <v>2.027402811</v>
      </c>
      <c r="D80" s="16">
        <f t="shared" si="66"/>
        <v>4.012659107</v>
      </c>
      <c r="E80" s="16">
        <f t="shared" si="66"/>
        <v>3.492470638</v>
      </c>
      <c r="F80" s="16">
        <f t="shared" si="66"/>
        <v>7.484276127</v>
      </c>
      <c r="G80" s="17">
        <f t="shared" si="67"/>
        <v>2.68474203</v>
      </c>
      <c r="H80" s="19">
        <f>H79/$B$1</f>
        <v>2.348993289</v>
      </c>
      <c r="I80" s="127"/>
    </row>
    <row r="81">
      <c r="A81" s="10" t="s">
        <v>24</v>
      </c>
      <c r="B81" s="20">
        <v>4.0</v>
      </c>
      <c r="C81" s="20">
        <v>3.0</v>
      </c>
      <c r="D81" s="20">
        <v>5.0</v>
      </c>
      <c r="E81" s="20">
        <v>8.0</v>
      </c>
      <c r="F81" s="20"/>
      <c r="G81" s="22">
        <f>SUM(B81:F81)</f>
        <v>20</v>
      </c>
      <c r="H81" s="23">
        <f>E174</f>
        <v>17.14285714</v>
      </c>
      <c r="I81" s="127">
        <f>$G81/$G$1*30</f>
        <v>20</v>
      </c>
    </row>
    <row r="82">
      <c r="A82" s="10" t="s">
        <v>25</v>
      </c>
      <c r="B82" s="12">
        <f t="shared" ref="B82:F82" si="68">B76/B81</f>
        <v>47494.5</v>
      </c>
      <c r="C82" s="12">
        <f t="shared" si="68"/>
        <v>53368</v>
      </c>
      <c r="D82" s="12">
        <f t="shared" si="68"/>
        <v>34677.4</v>
      </c>
      <c r="E82" s="12">
        <f t="shared" si="68"/>
        <v>20815.125</v>
      </c>
      <c r="F82" s="21" t="str">
        <f t="shared" si="68"/>
        <v>#DIV/0!</v>
      </c>
      <c r="G82" s="13">
        <f t="shared" ref="G82:G83" si="71">G76/G$81</f>
        <v>38402.55</v>
      </c>
      <c r="H82" s="136">
        <f t="shared" ref="H82:I82" si="69">H76/H81</f>
        <v>43750</v>
      </c>
      <c r="I82" s="128">
        <f t="shared" si="69"/>
        <v>38402.55</v>
      </c>
    </row>
    <row r="83">
      <c r="A83" s="10" t="s">
        <v>26</v>
      </c>
      <c r="B83" s="16">
        <f t="shared" ref="B83:F83" si="70">B82/$B$1</f>
        <v>31.87550336</v>
      </c>
      <c r="C83" s="16">
        <f t="shared" si="70"/>
        <v>35.81744966</v>
      </c>
      <c r="D83" s="16">
        <f t="shared" si="70"/>
        <v>23.27342282</v>
      </c>
      <c r="E83" s="16">
        <f t="shared" si="70"/>
        <v>13.96988255</v>
      </c>
      <c r="F83" s="16" t="str">
        <f t="shared" si="70"/>
        <v>#DIV/0!</v>
      </c>
      <c r="G83" s="17">
        <f t="shared" si="71"/>
        <v>25.77352349</v>
      </c>
      <c r="H83" s="19">
        <f>H82/$B$1</f>
        <v>29.36241611</v>
      </c>
      <c r="I83" s="130"/>
    </row>
    <row r="84">
      <c r="A84" s="10" t="s">
        <v>27</v>
      </c>
      <c r="B84" s="27">
        <f t="shared" ref="B84:I84" si="72">B81/B78</f>
        <v>0.05633802817</v>
      </c>
      <c r="C84" s="27">
        <f t="shared" si="72"/>
        <v>0.05660377358</v>
      </c>
      <c r="D84" s="27">
        <f t="shared" si="72"/>
        <v>0.1724137931</v>
      </c>
      <c r="E84" s="27">
        <f t="shared" si="72"/>
        <v>0.25</v>
      </c>
      <c r="F84" s="27">
        <f t="shared" si="72"/>
        <v>0</v>
      </c>
      <c r="G84" s="28">
        <f t="shared" si="72"/>
        <v>0.1041666667</v>
      </c>
      <c r="H84" s="137">
        <f t="shared" si="72"/>
        <v>0.08</v>
      </c>
      <c r="I84" s="130">
        <f t="shared" si="72"/>
        <v>0.1041666667</v>
      </c>
    </row>
    <row r="85">
      <c r="A85" s="10" t="s">
        <v>28</v>
      </c>
      <c r="B85" s="20"/>
      <c r="C85" s="20"/>
      <c r="D85" s="20"/>
      <c r="E85" s="21"/>
      <c r="F85" s="21"/>
      <c r="G85" s="22">
        <f>SUM(B85:D85)</f>
        <v>0</v>
      </c>
      <c r="H85" s="31"/>
      <c r="I85" s="131">
        <f>$G85/$G$1*30</f>
        <v>0</v>
      </c>
    </row>
    <row r="86">
      <c r="A86" s="10" t="s">
        <v>29</v>
      </c>
      <c r="B86" s="21"/>
      <c r="C86" s="21"/>
      <c r="D86" s="21"/>
      <c r="E86" s="21"/>
      <c r="F86" s="21"/>
      <c r="G86" s="22"/>
      <c r="H86" s="31"/>
      <c r="I86" s="138" t="str">
        <f>I76/I85</f>
        <v>#DIV/0!</v>
      </c>
    </row>
    <row r="87">
      <c r="A87" s="10" t="s">
        <v>30</v>
      </c>
      <c r="B87" s="16">
        <f t="shared" ref="B87:D87" si="73">B86/$B$1</f>
        <v>0</v>
      </c>
      <c r="C87" s="16">
        <f t="shared" si="73"/>
        <v>0</v>
      </c>
      <c r="D87" s="16">
        <f t="shared" si="73"/>
        <v>0</v>
      </c>
      <c r="E87" s="21"/>
      <c r="F87" s="21"/>
      <c r="G87" s="22"/>
      <c r="H87" s="31"/>
      <c r="I87" s="132"/>
    </row>
    <row r="88">
      <c r="A88" s="10" t="s">
        <v>32</v>
      </c>
      <c r="B88" s="21"/>
      <c r="C88" s="21"/>
      <c r="D88" s="21"/>
      <c r="E88" s="21"/>
      <c r="F88" s="21"/>
      <c r="G88" s="22"/>
      <c r="H88" s="31"/>
      <c r="I88" s="132">
        <f>I85/I78</f>
        <v>0</v>
      </c>
    </row>
    <row r="91">
      <c r="A91" s="142" t="s">
        <v>58</v>
      </c>
    </row>
    <row r="92">
      <c r="A92" s="7" t="s">
        <v>3</v>
      </c>
      <c r="B92" s="8" t="str">
        <f t="shared" ref="B92:F92" si="74">B3</f>
        <v>01/10 al 07/10</v>
      </c>
      <c r="C92" s="8" t="str">
        <f t="shared" si="74"/>
        <v>08/10 al 14/10</v>
      </c>
      <c r="D92" s="8" t="str">
        <f t="shared" si="74"/>
        <v>15/10 al 21/10</v>
      </c>
      <c r="E92" s="8" t="str">
        <f t="shared" si="74"/>
        <v>22/10 al 28/10</v>
      </c>
      <c r="F92" s="8" t="str">
        <f t="shared" si="74"/>
        <v>29/10 al 31/10</v>
      </c>
      <c r="G92" s="8" t="s">
        <v>43</v>
      </c>
      <c r="H92" s="9" t="s">
        <v>17</v>
      </c>
    </row>
    <row r="93">
      <c r="A93" s="10" t="s">
        <v>19</v>
      </c>
      <c r="B93" s="11"/>
      <c r="C93" s="11"/>
      <c r="D93" s="11"/>
      <c r="E93" s="21"/>
      <c r="F93" s="21"/>
      <c r="G93" s="13">
        <f t="shared" ref="G93:G94" si="75">SUM(B93:F93)</f>
        <v>0</v>
      </c>
      <c r="H93" s="134"/>
    </row>
    <row r="94">
      <c r="A94" s="10" t="s">
        <v>21</v>
      </c>
      <c r="B94" s="20"/>
      <c r="C94" s="20"/>
      <c r="D94" s="20"/>
      <c r="E94" s="21"/>
      <c r="F94" s="21"/>
      <c r="G94" s="22">
        <f t="shared" si="75"/>
        <v>0</v>
      </c>
      <c r="H94" s="143"/>
    </row>
    <row r="95">
      <c r="A95" s="10" t="s">
        <v>22</v>
      </c>
      <c r="B95" s="21" t="str">
        <f t="shared" ref="B95:D95" si="76">B93/B94</f>
        <v>#DIV/0!</v>
      </c>
      <c r="C95" s="21" t="str">
        <f t="shared" si="76"/>
        <v>#DIV/0!</v>
      </c>
      <c r="D95" s="21" t="str">
        <f t="shared" si="76"/>
        <v>#DIV/0!</v>
      </c>
      <c r="E95" s="21"/>
      <c r="F95" s="21"/>
      <c r="G95" s="22" t="str">
        <f t="shared" ref="G95:H95" si="77">G93/G94</f>
        <v>#DIV/0!</v>
      </c>
      <c r="H95" s="31" t="str">
        <f t="shared" si="77"/>
        <v>#DIV/0!</v>
      </c>
    </row>
    <row r="96">
      <c r="A96" s="10" t="s">
        <v>24</v>
      </c>
      <c r="B96" s="20">
        <v>0.0</v>
      </c>
      <c r="C96" s="20"/>
      <c r="D96" s="20"/>
      <c r="E96" s="21"/>
      <c r="F96" s="21"/>
      <c r="G96" s="22">
        <f>SUM(B96:D96)</f>
        <v>0</v>
      </c>
      <c r="H96" s="143"/>
    </row>
    <row r="97">
      <c r="A97" s="10" t="s">
        <v>25</v>
      </c>
      <c r="B97" s="21" t="str">
        <f t="shared" ref="B97:D97" si="78">B93/B96</f>
        <v>#DIV/0!</v>
      </c>
      <c r="C97" s="21" t="str">
        <f t="shared" si="78"/>
        <v>#DIV/0!</v>
      </c>
      <c r="D97" s="21" t="str">
        <f t="shared" si="78"/>
        <v>#DIV/0!</v>
      </c>
      <c r="E97" s="21"/>
      <c r="F97" s="21"/>
      <c r="G97" s="22" t="str">
        <f t="shared" ref="G97:H97" si="79">G93/G96</f>
        <v>#DIV/0!</v>
      </c>
      <c r="H97" s="31" t="str">
        <f t="shared" si="79"/>
        <v>#DIV/0!</v>
      </c>
    </row>
    <row r="98">
      <c r="A98" s="10" t="s">
        <v>27</v>
      </c>
      <c r="B98" s="27" t="str">
        <f t="shared" ref="B98:D98" si="80">B96/B94</f>
        <v>#DIV/0!</v>
      </c>
      <c r="C98" s="27" t="str">
        <f t="shared" si="80"/>
        <v>#DIV/0!</v>
      </c>
      <c r="D98" s="27" t="str">
        <f t="shared" si="80"/>
        <v>#DIV/0!</v>
      </c>
      <c r="E98" s="21"/>
      <c r="F98" s="21"/>
      <c r="G98" s="28" t="str">
        <f t="shared" ref="G98:H98" si="81">G96/G94</f>
        <v>#DIV/0!</v>
      </c>
      <c r="H98" s="137" t="str">
        <f t="shared" si="81"/>
        <v>#DIV/0!</v>
      </c>
    </row>
    <row r="99">
      <c r="A99" s="10" t="s">
        <v>28</v>
      </c>
      <c r="B99" s="20">
        <v>0.0</v>
      </c>
      <c r="C99" s="20">
        <v>0.0</v>
      </c>
      <c r="D99" s="21"/>
      <c r="E99" s="21"/>
      <c r="F99" s="21"/>
      <c r="G99" s="22">
        <f>SUM(B99:D99)</f>
        <v>0</v>
      </c>
      <c r="H99" s="31"/>
    </row>
    <row r="100">
      <c r="A100" s="10" t="s">
        <v>29</v>
      </c>
      <c r="B100" s="21"/>
      <c r="C100" s="21"/>
      <c r="D100" s="21"/>
      <c r="E100" s="21"/>
      <c r="F100" s="21"/>
      <c r="G100" s="22"/>
      <c r="H100" s="31"/>
    </row>
    <row r="101">
      <c r="A101" s="10" t="s">
        <v>32</v>
      </c>
      <c r="B101" s="21"/>
      <c r="C101" s="21"/>
      <c r="D101" s="21"/>
      <c r="E101" s="21"/>
      <c r="F101" s="21"/>
      <c r="G101" s="22"/>
      <c r="H101" s="31"/>
    </row>
    <row r="104">
      <c r="A104" s="142" t="s">
        <v>93</v>
      </c>
    </row>
    <row r="105">
      <c r="A105" s="7" t="s">
        <v>3</v>
      </c>
      <c r="B105" s="8" t="str">
        <f t="shared" ref="B105:F105" si="82">B3</f>
        <v>01/10 al 07/10</v>
      </c>
      <c r="C105" s="8" t="str">
        <f t="shared" si="82"/>
        <v>08/10 al 14/10</v>
      </c>
      <c r="D105" s="8" t="str">
        <f t="shared" si="82"/>
        <v>15/10 al 21/10</v>
      </c>
      <c r="E105" s="8" t="str">
        <f t="shared" si="82"/>
        <v>22/10 al 28/10</v>
      </c>
      <c r="F105" s="8" t="str">
        <f t="shared" si="82"/>
        <v>29/10 al 31/10</v>
      </c>
      <c r="G105" s="8" t="s">
        <v>43</v>
      </c>
      <c r="H105" s="9" t="s">
        <v>17</v>
      </c>
      <c r="I105" s="121" t="s">
        <v>45</v>
      </c>
    </row>
    <row r="106">
      <c r="A106" s="10" t="s">
        <v>19</v>
      </c>
      <c r="B106" s="11">
        <v>103966.0</v>
      </c>
      <c r="C106" s="11">
        <v>74152.0</v>
      </c>
      <c r="D106" s="11">
        <v>69295.0</v>
      </c>
      <c r="E106" s="11">
        <v>66670.0</v>
      </c>
      <c r="F106" s="11">
        <v>30211.0</v>
      </c>
      <c r="G106" s="13">
        <f t="shared" ref="G106:G108" si="84">SUM(B106:F106)</f>
        <v>344294</v>
      </c>
      <c r="H106" s="134">
        <f>F169</f>
        <v>300000</v>
      </c>
      <c r="I106" s="124">
        <f>$G106/$G$1*30</f>
        <v>344294</v>
      </c>
      <c r="J106" s="37">
        <f>(H106-G106)/14</f>
        <v>-3163.857143</v>
      </c>
    </row>
    <row r="107">
      <c r="A107" s="10" t="s">
        <v>20</v>
      </c>
      <c r="B107" s="16">
        <f t="shared" ref="B107:F107" si="83">B106/$B$1</f>
        <v>69.77583893</v>
      </c>
      <c r="C107" s="16">
        <f t="shared" si="83"/>
        <v>49.76644295</v>
      </c>
      <c r="D107" s="16">
        <f t="shared" si="83"/>
        <v>46.50671141</v>
      </c>
      <c r="E107" s="16">
        <f t="shared" si="83"/>
        <v>44.74496644</v>
      </c>
      <c r="F107" s="16">
        <f t="shared" si="83"/>
        <v>20.27583893</v>
      </c>
      <c r="G107" s="17">
        <f t="shared" si="84"/>
        <v>231.0697987</v>
      </c>
      <c r="H107" s="19">
        <f>H106/$B$1</f>
        <v>201.3422819</v>
      </c>
      <c r="I107" s="127"/>
    </row>
    <row r="108">
      <c r="A108" s="10" t="s">
        <v>21</v>
      </c>
      <c r="B108" s="20">
        <v>75.0</v>
      </c>
      <c r="C108" s="20">
        <v>50.0</v>
      </c>
      <c r="D108" s="20">
        <v>48.0</v>
      </c>
      <c r="E108" s="20">
        <v>55.0</v>
      </c>
      <c r="F108" s="20">
        <v>7.0</v>
      </c>
      <c r="G108" s="22">
        <f t="shared" si="84"/>
        <v>235</v>
      </c>
      <c r="H108" s="23">
        <f>F172</f>
        <v>120</v>
      </c>
      <c r="I108" s="127">
        <f>$G108/$G$1*30</f>
        <v>235</v>
      </c>
    </row>
    <row r="109">
      <c r="A109" s="10" t="s">
        <v>22</v>
      </c>
      <c r="B109" s="12">
        <f t="shared" ref="B109:F109" si="85">B106/B108</f>
        <v>1386.213333</v>
      </c>
      <c r="C109" s="12">
        <f t="shared" si="85"/>
        <v>1483.04</v>
      </c>
      <c r="D109" s="12">
        <f t="shared" si="85"/>
        <v>1443.645833</v>
      </c>
      <c r="E109" s="12">
        <f t="shared" si="85"/>
        <v>1212.181818</v>
      </c>
      <c r="F109" s="12">
        <f t="shared" si="85"/>
        <v>4315.857143</v>
      </c>
      <c r="G109" s="13">
        <f t="shared" ref="G109:G110" si="88">G106/G$108</f>
        <v>1465.080851</v>
      </c>
      <c r="H109" s="136">
        <f t="shared" ref="H109:I109" si="86">H106/H108</f>
        <v>2500</v>
      </c>
      <c r="I109" s="124">
        <f t="shared" si="86"/>
        <v>1465.080851</v>
      </c>
    </row>
    <row r="110">
      <c r="A110" s="10" t="s">
        <v>23</v>
      </c>
      <c r="B110" s="16">
        <f t="shared" ref="B110:F110" si="87">B109/$B$1</f>
        <v>0.930344519</v>
      </c>
      <c r="C110" s="16">
        <f t="shared" si="87"/>
        <v>0.9953288591</v>
      </c>
      <c r="D110" s="16">
        <f t="shared" si="87"/>
        <v>0.968889821</v>
      </c>
      <c r="E110" s="16">
        <f t="shared" si="87"/>
        <v>0.8135448444</v>
      </c>
      <c r="F110" s="16">
        <f t="shared" si="87"/>
        <v>2.896548418</v>
      </c>
      <c r="G110" s="17">
        <f t="shared" si="88"/>
        <v>0.983275739</v>
      </c>
      <c r="H110" s="19">
        <f>H109/$B$1</f>
        <v>1.677852349</v>
      </c>
      <c r="I110" s="127"/>
    </row>
    <row r="111">
      <c r="A111" s="10" t="s">
        <v>24</v>
      </c>
      <c r="B111" s="20">
        <v>0.0</v>
      </c>
      <c r="C111" s="20">
        <v>2.0</v>
      </c>
      <c r="D111" s="20">
        <v>1.0</v>
      </c>
      <c r="E111" s="20">
        <v>0.0</v>
      </c>
      <c r="F111" s="20"/>
      <c r="G111" s="22">
        <f>SUM(B111:F111)</f>
        <v>3</v>
      </c>
      <c r="H111" s="23">
        <f>F174</f>
        <v>4.8</v>
      </c>
      <c r="I111" s="127">
        <f>$G111/$G$1*30</f>
        <v>3</v>
      </c>
    </row>
    <row r="112">
      <c r="A112" s="10" t="s">
        <v>25</v>
      </c>
      <c r="B112" s="20" t="str">
        <f t="shared" ref="B112:F112" si="89">B106/B111</f>
        <v>#DIV/0!</v>
      </c>
      <c r="C112" s="11">
        <f t="shared" si="89"/>
        <v>37076</v>
      </c>
      <c r="D112" s="11">
        <f t="shared" si="89"/>
        <v>69295</v>
      </c>
      <c r="E112" s="20" t="str">
        <f t="shared" si="89"/>
        <v>#DIV/0!</v>
      </c>
      <c r="F112" s="20" t="str">
        <f t="shared" si="89"/>
        <v>#DIV/0!</v>
      </c>
      <c r="G112" s="13">
        <f t="shared" ref="G112:G113" si="92">G106/G$111</f>
        <v>114764.6667</v>
      </c>
      <c r="H112" s="136">
        <f t="shared" ref="H112:I112" si="90">H106/H111</f>
        <v>62500</v>
      </c>
      <c r="I112" s="128">
        <f t="shared" si="90"/>
        <v>114764.6667</v>
      </c>
    </row>
    <row r="113">
      <c r="A113" s="10" t="s">
        <v>26</v>
      </c>
      <c r="B113" s="16" t="str">
        <f t="shared" ref="B113:F113" si="91">B112/$B$1</f>
        <v>#DIV/0!</v>
      </c>
      <c r="C113" s="16">
        <f t="shared" si="91"/>
        <v>24.88322148</v>
      </c>
      <c r="D113" s="16">
        <f t="shared" si="91"/>
        <v>46.50671141</v>
      </c>
      <c r="E113" s="16" t="str">
        <f t="shared" si="91"/>
        <v>#DIV/0!</v>
      </c>
      <c r="F113" s="16" t="str">
        <f t="shared" si="91"/>
        <v>#DIV/0!</v>
      </c>
      <c r="G113" s="17">
        <f t="shared" si="92"/>
        <v>77.02326622</v>
      </c>
      <c r="H113" s="19">
        <f>H112/$B$1</f>
        <v>41.94630872</v>
      </c>
      <c r="I113" s="130"/>
    </row>
    <row r="114">
      <c r="A114" s="10" t="s">
        <v>27</v>
      </c>
      <c r="B114" s="27"/>
      <c r="C114" s="27">
        <f t="shared" ref="C114:I114" si="93">C111/C108</f>
        <v>0.04</v>
      </c>
      <c r="D114" s="27">
        <f t="shared" si="93"/>
        <v>0.02083333333</v>
      </c>
      <c r="E114" s="27">
        <f t="shared" si="93"/>
        <v>0</v>
      </c>
      <c r="F114" s="27">
        <f t="shared" si="93"/>
        <v>0</v>
      </c>
      <c r="G114" s="28">
        <f t="shared" si="93"/>
        <v>0.01276595745</v>
      </c>
      <c r="H114" s="137">
        <f t="shared" si="93"/>
        <v>0.04</v>
      </c>
      <c r="I114" s="130">
        <f t="shared" si="93"/>
        <v>0.01276595745</v>
      </c>
    </row>
    <row r="115">
      <c r="A115" s="10" t="s">
        <v>28</v>
      </c>
      <c r="B115" s="20"/>
      <c r="C115" s="20"/>
      <c r="D115" s="21"/>
      <c r="E115" s="21"/>
      <c r="F115" s="21"/>
      <c r="G115" s="22">
        <f>SUM(B115:D115)</f>
        <v>0</v>
      </c>
      <c r="H115" s="31"/>
      <c r="I115" s="131">
        <f>$G115/$G$1*30</f>
        <v>0</v>
      </c>
    </row>
    <row r="116">
      <c r="A116" s="10" t="s">
        <v>29</v>
      </c>
      <c r="B116" s="21"/>
      <c r="C116" s="21"/>
      <c r="D116" s="21"/>
      <c r="E116" s="21"/>
      <c r="F116" s="21"/>
      <c r="G116" s="22"/>
      <c r="H116" s="31"/>
      <c r="I116" s="138" t="str">
        <f>I106/I115</f>
        <v>#DIV/0!</v>
      </c>
    </row>
    <row r="117">
      <c r="A117" s="10" t="s">
        <v>30</v>
      </c>
      <c r="B117" s="16">
        <f t="shared" ref="B117:D117" si="94">B116/$B$1</f>
        <v>0</v>
      </c>
      <c r="C117" s="16">
        <f t="shared" si="94"/>
        <v>0</v>
      </c>
      <c r="D117" s="16">
        <f t="shared" si="94"/>
        <v>0</v>
      </c>
      <c r="E117" s="21"/>
      <c r="F117" s="21"/>
      <c r="G117" s="22"/>
      <c r="H117" s="31"/>
      <c r="I117" s="132"/>
    </row>
    <row r="118">
      <c r="A118" s="10" t="s">
        <v>32</v>
      </c>
      <c r="B118" s="21"/>
      <c r="C118" s="21"/>
      <c r="D118" s="21"/>
      <c r="E118" s="21"/>
      <c r="F118" s="21"/>
      <c r="G118" s="22"/>
      <c r="H118" s="31"/>
      <c r="I118" s="132">
        <f>I115/I108</f>
        <v>0</v>
      </c>
    </row>
    <row r="121">
      <c r="A121" s="144" t="s">
        <v>60</v>
      </c>
      <c r="K121" s="122" t="s">
        <v>105</v>
      </c>
      <c r="L121" s="49"/>
      <c r="M121" s="49"/>
      <c r="N121" s="49"/>
      <c r="O121" s="49"/>
      <c r="P121" s="49"/>
      <c r="Q121" s="50"/>
    </row>
    <row r="122">
      <c r="A122" s="7" t="s">
        <v>3</v>
      </c>
      <c r="B122" s="8" t="str">
        <f t="shared" ref="B122:F122" si="95">B3</f>
        <v>01/10 al 07/10</v>
      </c>
      <c r="C122" s="8" t="str">
        <f t="shared" si="95"/>
        <v>08/10 al 14/10</v>
      </c>
      <c r="D122" s="8" t="str">
        <f t="shared" si="95"/>
        <v>15/10 al 21/10</v>
      </c>
      <c r="E122" s="8" t="str">
        <f t="shared" si="95"/>
        <v>22/10 al 28/10</v>
      </c>
      <c r="F122" s="8" t="str">
        <f t="shared" si="95"/>
        <v>29/10 al 31/10</v>
      </c>
      <c r="G122" s="8" t="s">
        <v>43</v>
      </c>
      <c r="H122" s="9" t="s">
        <v>17</v>
      </c>
      <c r="I122" s="121" t="s">
        <v>45</v>
      </c>
      <c r="K122" s="57"/>
      <c r="Q122" s="58"/>
    </row>
    <row r="123">
      <c r="A123" s="10" t="s">
        <v>19</v>
      </c>
      <c r="B123" s="11">
        <v>168000.0</v>
      </c>
      <c r="C123" s="11">
        <v>149000.0</v>
      </c>
      <c r="D123" s="11">
        <v>149356.0</v>
      </c>
      <c r="E123" s="11">
        <v>148211.0</v>
      </c>
      <c r="F123" s="11">
        <f>9755+18294+42831</f>
        <v>70880</v>
      </c>
      <c r="G123" s="13">
        <f t="shared" ref="G123:G125" si="97">SUM(B123:F123)</f>
        <v>685447</v>
      </c>
      <c r="H123" s="134">
        <f>G169</f>
        <v>750000</v>
      </c>
      <c r="I123" s="124">
        <f>$G123/$G$1*30</f>
        <v>685447</v>
      </c>
      <c r="J123" s="37">
        <f>(H123-G123)/15</f>
        <v>4303.533333</v>
      </c>
      <c r="K123" s="57"/>
      <c r="Q123" s="58"/>
    </row>
    <row r="124">
      <c r="A124" s="10" t="s">
        <v>20</v>
      </c>
      <c r="B124" s="16">
        <f t="shared" ref="B124:F124" si="96">B123/$B$1</f>
        <v>112.7516779</v>
      </c>
      <c r="C124" s="16">
        <f t="shared" si="96"/>
        <v>100</v>
      </c>
      <c r="D124" s="16">
        <f t="shared" si="96"/>
        <v>100.2389262</v>
      </c>
      <c r="E124" s="16">
        <f t="shared" si="96"/>
        <v>99.4704698</v>
      </c>
      <c r="F124" s="16">
        <f t="shared" si="96"/>
        <v>47.5704698</v>
      </c>
      <c r="G124" s="17">
        <f t="shared" si="97"/>
        <v>460.0315436</v>
      </c>
      <c r="H124" s="19">
        <f>H123/$B$1</f>
        <v>503.3557047</v>
      </c>
      <c r="I124" s="127"/>
      <c r="K124" s="57"/>
      <c r="Q124" s="58"/>
    </row>
    <row r="125">
      <c r="A125" s="10" t="s">
        <v>21</v>
      </c>
      <c r="B125" s="20">
        <v>14.0</v>
      </c>
      <c r="C125" s="20">
        <v>9.0</v>
      </c>
      <c r="D125" s="20">
        <v>10.0</v>
      </c>
      <c r="E125" s="20">
        <v>0.0</v>
      </c>
      <c r="F125" s="20"/>
      <c r="G125" s="22">
        <f t="shared" si="97"/>
        <v>33</v>
      </c>
      <c r="H125" s="23">
        <f>G172</f>
        <v>150</v>
      </c>
      <c r="I125" s="127">
        <f>$G125/$G$1*30</f>
        <v>33</v>
      </c>
      <c r="K125" s="57"/>
      <c r="Q125" s="58"/>
    </row>
    <row r="126">
      <c r="A126" s="10" t="s">
        <v>22</v>
      </c>
      <c r="B126" s="12">
        <f t="shared" ref="B126:D126" si="98">B123/B125</f>
        <v>12000</v>
      </c>
      <c r="C126" s="12">
        <f t="shared" si="98"/>
        <v>16555.55556</v>
      </c>
      <c r="D126" s="12">
        <f t="shared" si="98"/>
        <v>14935.6</v>
      </c>
      <c r="E126" s="21" t="str">
        <f t="shared" ref="E126:F126" si="99">E106/E125</f>
        <v>#DIV/0!</v>
      </c>
      <c r="F126" s="21" t="str">
        <f t="shared" si="99"/>
        <v>#DIV/0!</v>
      </c>
      <c r="G126" s="13">
        <f t="shared" ref="G126:G127" si="102">G123/G$125</f>
        <v>20771.12121</v>
      </c>
      <c r="H126" s="136">
        <f t="shared" ref="H126:I126" si="100">H123/H125</f>
        <v>5000</v>
      </c>
      <c r="I126" s="124">
        <f t="shared" si="100"/>
        <v>20771.12121</v>
      </c>
      <c r="K126" s="57"/>
      <c r="Q126" s="58"/>
    </row>
    <row r="127">
      <c r="A127" s="10" t="s">
        <v>23</v>
      </c>
      <c r="B127" s="16">
        <f t="shared" ref="B127:F127" si="101">B126/$B$1</f>
        <v>8.053691275</v>
      </c>
      <c r="C127" s="16">
        <f t="shared" si="101"/>
        <v>11.11111111</v>
      </c>
      <c r="D127" s="16">
        <f t="shared" si="101"/>
        <v>10.02389262</v>
      </c>
      <c r="E127" s="16" t="str">
        <f t="shared" si="101"/>
        <v>#DIV/0!</v>
      </c>
      <c r="F127" s="16" t="str">
        <f t="shared" si="101"/>
        <v>#DIV/0!</v>
      </c>
      <c r="G127" s="17">
        <f t="shared" si="102"/>
        <v>13.94034981</v>
      </c>
      <c r="H127" s="19">
        <f>H126/$B$1</f>
        <v>3.355704698</v>
      </c>
      <c r="I127" s="127"/>
      <c r="K127" s="57"/>
      <c r="Q127" s="58"/>
    </row>
    <row r="128">
      <c r="A128" s="10" t="s">
        <v>24</v>
      </c>
      <c r="B128" s="20"/>
      <c r="C128" s="20">
        <v>1.0</v>
      </c>
      <c r="D128" s="20"/>
      <c r="E128" s="20">
        <v>0.0</v>
      </c>
      <c r="F128" s="20"/>
      <c r="G128" s="22">
        <f>SUM(B128:D128)</f>
        <v>1</v>
      </c>
      <c r="H128" s="23">
        <f>G174</f>
        <v>15</v>
      </c>
      <c r="I128" s="127">
        <f>$G128/$G$1*30</f>
        <v>1</v>
      </c>
      <c r="K128" s="57"/>
      <c r="Q128" s="58"/>
    </row>
    <row r="129">
      <c r="A129" s="10" t="s">
        <v>25</v>
      </c>
      <c r="B129" s="21" t="str">
        <f t="shared" ref="B129:C129" si="103">B123/B128</f>
        <v>#DIV/0!</v>
      </c>
      <c r="C129" s="12">
        <f t="shared" si="103"/>
        <v>149000</v>
      </c>
      <c r="D129" s="21" t="str">
        <f t="shared" ref="D129:E129" si="104">D106/D128</f>
        <v>#DIV/0!</v>
      </c>
      <c r="E129" s="21" t="str">
        <f t="shared" si="104"/>
        <v>#DIV/0!</v>
      </c>
      <c r="F129" s="21"/>
      <c r="G129" s="13">
        <f t="shared" ref="G129:G130" si="107">G123/G$128</f>
        <v>685447</v>
      </c>
      <c r="H129" s="136">
        <f t="shared" ref="H129:I129" si="105">H123/H128</f>
        <v>50000</v>
      </c>
      <c r="I129" s="128">
        <f t="shared" si="105"/>
        <v>685447</v>
      </c>
      <c r="K129" s="57"/>
      <c r="Q129" s="58"/>
    </row>
    <row r="130">
      <c r="A130" s="10" t="s">
        <v>26</v>
      </c>
      <c r="B130" s="16" t="str">
        <f t="shared" ref="B130:E130" si="106">B129/$B$1</f>
        <v>#DIV/0!</v>
      </c>
      <c r="C130" s="16">
        <f t="shared" si="106"/>
        <v>100</v>
      </c>
      <c r="D130" s="16" t="str">
        <f t="shared" si="106"/>
        <v>#DIV/0!</v>
      </c>
      <c r="E130" s="16" t="str">
        <f t="shared" si="106"/>
        <v>#DIV/0!</v>
      </c>
      <c r="F130" s="21"/>
      <c r="G130" s="17">
        <f t="shared" si="107"/>
        <v>460.0315436</v>
      </c>
      <c r="H130" s="19">
        <f>H129/$B$1</f>
        <v>33.55704698</v>
      </c>
      <c r="I130" s="130"/>
      <c r="K130" s="57"/>
      <c r="Q130" s="58"/>
    </row>
    <row r="131">
      <c r="A131" s="10" t="s">
        <v>27</v>
      </c>
      <c r="B131" s="27">
        <f t="shared" ref="B131:E131" si="108">B128/B125</f>
        <v>0</v>
      </c>
      <c r="C131" s="27">
        <f t="shared" si="108"/>
        <v>0.1111111111</v>
      </c>
      <c r="D131" s="27">
        <f t="shared" si="108"/>
        <v>0</v>
      </c>
      <c r="E131" s="27" t="str">
        <f t="shared" si="108"/>
        <v>#DIV/0!</v>
      </c>
      <c r="F131" s="21"/>
      <c r="G131" s="28">
        <f t="shared" ref="G131:I131" si="109">G128/G125</f>
        <v>0.0303030303</v>
      </c>
      <c r="H131" s="137">
        <f t="shared" si="109"/>
        <v>0.1</v>
      </c>
      <c r="I131" s="130">
        <f t="shared" si="109"/>
        <v>0.0303030303</v>
      </c>
      <c r="K131" s="57"/>
      <c r="Q131" s="58"/>
    </row>
    <row r="132">
      <c r="A132" s="10" t="s">
        <v>28</v>
      </c>
      <c r="B132" s="20">
        <v>0.0</v>
      </c>
      <c r="C132" s="20">
        <v>0.0</v>
      </c>
      <c r="D132" s="20">
        <v>0.0</v>
      </c>
      <c r="E132" s="21"/>
      <c r="F132" s="21"/>
      <c r="G132" s="22">
        <f>SUM(B132:D132)</f>
        <v>0</v>
      </c>
      <c r="H132" s="31"/>
      <c r="I132" s="131">
        <f>$G132/$G$1*30</f>
        <v>0</v>
      </c>
      <c r="K132" s="57"/>
      <c r="Q132" s="58"/>
    </row>
    <row r="133">
      <c r="A133" s="10" t="s">
        <v>29</v>
      </c>
      <c r="B133" s="21"/>
      <c r="C133" s="21"/>
      <c r="D133" s="21"/>
      <c r="E133" s="21"/>
      <c r="F133" s="21"/>
      <c r="G133" s="22"/>
      <c r="H133" s="31"/>
      <c r="I133" s="138" t="str">
        <f>I123/I132</f>
        <v>#DIV/0!</v>
      </c>
      <c r="K133" s="57"/>
      <c r="Q133" s="58"/>
    </row>
    <row r="134">
      <c r="A134" s="10" t="s">
        <v>30</v>
      </c>
      <c r="B134" s="16">
        <f t="shared" ref="B134:D134" si="110">B133/$B$1</f>
        <v>0</v>
      </c>
      <c r="C134" s="16">
        <f t="shared" si="110"/>
        <v>0</v>
      </c>
      <c r="D134" s="16">
        <f t="shared" si="110"/>
        <v>0</v>
      </c>
      <c r="E134" s="21"/>
      <c r="F134" s="21"/>
      <c r="G134" s="22"/>
      <c r="H134" s="31"/>
      <c r="I134" s="132"/>
      <c r="K134" s="81"/>
      <c r="L134" s="82"/>
      <c r="M134" s="82"/>
      <c r="N134" s="82"/>
      <c r="O134" s="82"/>
      <c r="P134" s="82"/>
      <c r="Q134" s="83"/>
    </row>
    <row r="135">
      <c r="A135" s="10" t="s">
        <v>32</v>
      </c>
      <c r="B135" s="21"/>
      <c r="C135" s="21"/>
      <c r="D135" s="21"/>
      <c r="E135" s="21"/>
      <c r="F135" s="21"/>
      <c r="G135" s="22"/>
      <c r="H135" s="31"/>
      <c r="I135" s="132">
        <f>I132/I125</f>
        <v>0</v>
      </c>
    </row>
    <row r="138">
      <c r="A138" s="4" t="s">
        <v>61</v>
      </c>
    </row>
    <row r="139">
      <c r="A139" s="7" t="s">
        <v>3</v>
      </c>
      <c r="B139" s="8" t="str">
        <f t="shared" ref="B139:F139" si="111">B3</f>
        <v>01/10 al 07/10</v>
      </c>
      <c r="C139" s="8" t="str">
        <f t="shared" si="111"/>
        <v>08/10 al 14/10</v>
      </c>
      <c r="D139" s="8" t="str">
        <f t="shared" si="111"/>
        <v>15/10 al 21/10</v>
      </c>
      <c r="E139" s="8" t="str">
        <f t="shared" si="111"/>
        <v>22/10 al 28/10</v>
      </c>
      <c r="F139" s="8" t="str">
        <f t="shared" si="111"/>
        <v>29/10 al 31/10</v>
      </c>
      <c r="G139" s="8" t="s">
        <v>43</v>
      </c>
    </row>
    <row r="140">
      <c r="A140" s="10" t="s">
        <v>62</v>
      </c>
      <c r="B140" s="11">
        <f t="shared" ref="B140:E140" si="112">B106+B93+B76+B59+B42+B25</f>
        <v>1864967</v>
      </c>
      <c r="C140" s="11">
        <f t="shared" si="112"/>
        <v>1821975</v>
      </c>
      <c r="D140" s="11">
        <f t="shared" si="112"/>
        <v>1815365</v>
      </c>
      <c r="E140" s="11">
        <f t="shared" si="112"/>
        <v>1736038</v>
      </c>
      <c r="F140" s="11">
        <f>F4</f>
        <v>874435</v>
      </c>
      <c r="G140" s="13">
        <f t="shared" ref="G140:G144" si="114">SUM(B140:F140)</f>
        <v>8112780</v>
      </c>
    </row>
    <row r="141">
      <c r="A141" s="10" t="s">
        <v>63</v>
      </c>
      <c r="B141" s="11">
        <f t="shared" ref="B141:F141" si="113">B123</f>
        <v>168000</v>
      </c>
      <c r="C141" s="11">
        <f t="shared" si="113"/>
        <v>149000</v>
      </c>
      <c r="D141" s="11">
        <f t="shared" si="113"/>
        <v>149356</v>
      </c>
      <c r="E141" s="11">
        <f t="shared" si="113"/>
        <v>148211</v>
      </c>
      <c r="F141" s="11">
        <f t="shared" si="113"/>
        <v>70880</v>
      </c>
      <c r="G141" s="13">
        <f t="shared" si="114"/>
        <v>685447</v>
      </c>
    </row>
    <row r="142">
      <c r="A142" s="10" t="s">
        <v>64</v>
      </c>
      <c r="B142" s="21">
        <f t="shared" ref="B142:F142" si="115">B143+B144</f>
        <v>25</v>
      </c>
      <c r="C142" s="21">
        <f t="shared" si="115"/>
        <v>25</v>
      </c>
      <c r="D142" s="21">
        <f t="shared" si="115"/>
        <v>31</v>
      </c>
      <c r="E142" s="21">
        <f t="shared" si="115"/>
        <v>34</v>
      </c>
      <c r="F142" s="21">
        <f t="shared" si="115"/>
        <v>14</v>
      </c>
      <c r="G142" s="22">
        <f t="shared" si="114"/>
        <v>129</v>
      </c>
    </row>
    <row r="143">
      <c r="A143" s="10" t="s">
        <v>65</v>
      </c>
      <c r="B143" s="20">
        <f t="shared" ref="B143:F143" si="116">B111+B96+B81+B64+B47+B30</f>
        <v>25</v>
      </c>
      <c r="C143" s="20">
        <f t="shared" si="116"/>
        <v>24</v>
      </c>
      <c r="D143" s="20">
        <f t="shared" si="116"/>
        <v>31</v>
      </c>
      <c r="E143" s="20">
        <f t="shared" si="116"/>
        <v>34</v>
      </c>
      <c r="F143" s="20">
        <f t="shared" si="116"/>
        <v>14</v>
      </c>
      <c r="G143" s="22">
        <f t="shared" si="114"/>
        <v>128</v>
      </c>
    </row>
    <row r="144">
      <c r="A144" s="10" t="s">
        <v>66</v>
      </c>
      <c r="B144" s="20" t="str">
        <f t="shared" ref="B144:F144" si="117">B128</f>
        <v/>
      </c>
      <c r="C144" s="20">
        <f t="shared" si="117"/>
        <v>1</v>
      </c>
      <c r="D144" s="20" t="str">
        <f t="shared" si="117"/>
        <v/>
      </c>
      <c r="E144" s="20">
        <f t="shared" si="117"/>
        <v>0</v>
      </c>
      <c r="F144" s="20" t="str">
        <f t="shared" si="117"/>
        <v/>
      </c>
      <c r="G144" s="22">
        <f t="shared" si="114"/>
        <v>1</v>
      </c>
    </row>
    <row r="145">
      <c r="A145" s="10" t="s">
        <v>67</v>
      </c>
      <c r="B145" s="12">
        <f t="shared" ref="B145:B146" si="119">B140/B143</f>
        <v>74598.68</v>
      </c>
      <c r="C145" s="12">
        <f t="shared" ref="C145:G145" si="118">C140/C142</f>
        <v>72879</v>
      </c>
      <c r="D145" s="12">
        <f t="shared" si="118"/>
        <v>58560.16129</v>
      </c>
      <c r="E145" s="12">
        <f t="shared" si="118"/>
        <v>51059.94118</v>
      </c>
      <c r="F145" s="12">
        <f t="shared" si="118"/>
        <v>62459.64286</v>
      </c>
      <c r="G145" s="13">
        <f t="shared" si="118"/>
        <v>62889.76744</v>
      </c>
    </row>
    <row r="146">
      <c r="A146" s="10" t="s">
        <v>68</v>
      </c>
      <c r="B146" s="21" t="str">
        <f t="shared" si="119"/>
        <v>#DIV/0!</v>
      </c>
      <c r="C146" s="12">
        <f t="shared" ref="C146:G146" si="120">C141/C144</f>
        <v>149000</v>
      </c>
      <c r="D146" s="21" t="str">
        <f t="shared" si="120"/>
        <v>#DIV/0!</v>
      </c>
      <c r="E146" s="21" t="str">
        <f t="shared" si="120"/>
        <v>#DIV/0!</v>
      </c>
      <c r="F146" s="21" t="str">
        <f t="shared" si="120"/>
        <v>#DIV/0!</v>
      </c>
      <c r="G146" s="13">
        <f t="shared" si="120"/>
        <v>685447</v>
      </c>
    </row>
    <row r="147">
      <c r="A147" s="10" t="s">
        <v>69</v>
      </c>
      <c r="B147" s="20">
        <v>0.0</v>
      </c>
      <c r="C147" s="20">
        <v>0.0</v>
      </c>
      <c r="D147" s="20">
        <v>0.0</v>
      </c>
      <c r="E147" s="20">
        <v>0.0</v>
      </c>
      <c r="F147" s="20">
        <v>0.0</v>
      </c>
      <c r="G147" s="22"/>
    </row>
    <row r="148">
      <c r="A148" s="10" t="s">
        <v>70</v>
      </c>
      <c r="B148" s="20">
        <v>0.0</v>
      </c>
      <c r="C148" s="20">
        <v>0.0</v>
      </c>
      <c r="D148" s="20">
        <v>0.0</v>
      </c>
      <c r="E148" s="20">
        <v>0.0</v>
      </c>
      <c r="F148" s="20">
        <v>0.0</v>
      </c>
      <c r="G148" s="22"/>
    </row>
    <row r="149">
      <c r="A149" s="10" t="s">
        <v>71</v>
      </c>
      <c r="B149" s="21"/>
      <c r="C149" s="21"/>
      <c r="D149" s="21"/>
      <c r="E149" s="21"/>
      <c r="F149" s="21"/>
      <c r="G149" s="22"/>
    </row>
    <row r="150">
      <c r="A150" s="10" t="s">
        <v>72</v>
      </c>
      <c r="B150" s="21"/>
      <c r="C150" s="21"/>
      <c r="D150" s="21"/>
      <c r="E150" s="21"/>
      <c r="F150" s="21"/>
      <c r="G150" s="22"/>
    </row>
    <row r="151">
      <c r="A151" s="10" t="s">
        <v>32</v>
      </c>
      <c r="B151" s="21"/>
      <c r="C151" s="21"/>
      <c r="D151" s="21"/>
      <c r="E151" s="21"/>
      <c r="F151" s="21"/>
      <c r="G151" s="22"/>
    </row>
    <row r="154">
      <c r="A154" s="142" t="s">
        <v>73</v>
      </c>
    </row>
    <row r="155">
      <c r="A155" s="7" t="s">
        <v>3</v>
      </c>
      <c r="B155" s="8" t="s">
        <v>54</v>
      </c>
      <c r="C155" s="8" t="s">
        <v>55</v>
      </c>
      <c r="D155" s="8" t="s">
        <v>56</v>
      </c>
      <c r="E155" s="8" t="s">
        <v>74</v>
      </c>
      <c r="F155" s="8" t="s">
        <v>94</v>
      </c>
      <c r="G155" s="8" t="s">
        <v>76</v>
      </c>
      <c r="H155" s="8" t="s">
        <v>43</v>
      </c>
    </row>
    <row r="156">
      <c r="A156" s="10" t="s">
        <v>19</v>
      </c>
      <c r="B156" s="12">
        <f>G25</f>
        <v>1800553</v>
      </c>
      <c r="C156" s="12">
        <f>G42</f>
        <v>1571160</v>
      </c>
      <c r="D156" s="12">
        <f>G59</f>
        <v>3569057</v>
      </c>
      <c r="E156" s="12">
        <f>G76</f>
        <v>768051</v>
      </c>
      <c r="F156" s="12">
        <f>G106</f>
        <v>344294</v>
      </c>
      <c r="G156" s="12">
        <f>G123</f>
        <v>685447</v>
      </c>
      <c r="H156" s="12">
        <f>SUM(B156:G156)</f>
        <v>8738562</v>
      </c>
    </row>
    <row r="157">
      <c r="A157" s="10" t="s">
        <v>77</v>
      </c>
      <c r="B157" s="27">
        <f t="shared" ref="B157:H157" si="121">B156/SUM($B$156:$G$156)</f>
        <v>0.2060468301</v>
      </c>
      <c r="C157" s="27">
        <f t="shared" si="121"/>
        <v>0.1797961724</v>
      </c>
      <c r="D157" s="27">
        <f t="shared" si="121"/>
        <v>0.4084261232</v>
      </c>
      <c r="E157" s="27">
        <f t="shared" si="121"/>
        <v>0.08789214976</v>
      </c>
      <c r="F157" s="27">
        <f t="shared" si="121"/>
        <v>0.0393993886</v>
      </c>
      <c r="G157" s="27">
        <f t="shared" si="121"/>
        <v>0.0784393359</v>
      </c>
      <c r="H157" s="27">
        <f t="shared" si="121"/>
        <v>1</v>
      </c>
    </row>
    <row r="158">
      <c r="A158" s="10" t="s">
        <v>21</v>
      </c>
      <c r="B158" s="21">
        <f t="shared" ref="B158:B159" si="122">G27</f>
        <v>257</v>
      </c>
      <c r="C158" s="21">
        <f t="shared" ref="C158:C159" si="123">G44</f>
        <v>301</v>
      </c>
      <c r="D158" s="21">
        <f t="shared" ref="D158:D159" si="124">G61</f>
        <v>658</v>
      </c>
      <c r="E158" s="21">
        <f t="shared" ref="E158:E159" si="125">G78</f>
        <v>192</v>
      </c>
      <c r="F158" s="21">
        <f t="shared" ref="F158:F159" si="126">G108</f>
        <v>235</v>
      </c>
      <c r="G158" s="21">
        <f t="shared" ref="G158:G159" si="127">G125</f>
        <v>33</v>
      </c>
      <c r="H158" s="21">
        <f>SUM(B158:G158)</f>
        <v>1676</v>
      </c>
    </row>
    <row r="159">
      <c r="A159" s="10" t="s">
        <v>22</v>
      </c>
      <c r="B159" s="12">
        <f t="shared" si="122"/>
        <v>7006.042802</v>
      </c>
      <c r="C159" s="12">
        <f t="shared" si="123"/>
        <v>5219.800664</v>
      </c>
      <c r="D159" s="12">
        <f t="shared" si="124"/>
        <v>5424.098784</v>
      </c>
      <c r="E159" s="12">
        <f t="shared" si="125"/>
        <v>4000.265625</v>
      </c>
      <c r="F159" s="12">
        <f t="shared" si="126"/>
        <v>1465.080851</v>
      </c>
      <c r="G159" s="12">
        <f t="shared" si="127"/>
        <v>20771.12121</v>
      </c>
      <c r="H159" s="12">
        <f>H156/H158</f>
        <v>5213.939141</v>
      </c>
    </row>
    <row r="160">
      <c r="A160" s="10" t="s">
        <v>24</v>
      </c>
      <c r="B160" s="21">
        <f t="shared" ref="B160:B161" si="128">G30</f>
        <v>34</v>
      </c>
      <c r="C160" s="21">
        <f t="shared" ref="C160:C161" si="129">G47</f>
        <v>20</v>
      </c>
      <c r="D160" s="21">
        <f t="shared" ref="D160:D161" si="130">G64</f>
        <v>51</v>
      </c>
      <c r="E160" s="21">
        <f t="shared" ref="E160:E161" si="131">G81</f>
        <v>20</v>
      </c>
      <c r="F160" s="21">
        <f t="shared" ref="F160:F161" si="132">G111</f>
        <v>3</v>
      </c>
      <c r="G160" s="21">
        <f t="shared" ref="G160:G161" si="133">G128</f>
        <v>1</v>
      </c>
      <c r="H160" s="21">
        <f>SUM(B160:G160)</f>
        <v>129</v>
      </c>
    </row>
    <row r="161">
      <c r="A161" s="10" t="s">
        <v>25</v>
      </c>
      <c r="B161" s="12">
        <f t="shared" si="128"/>
        <v>52957.44118</v>
      </c>
      <c r="C161" s="12">
        <f t="shared" si="129"/>
        <v>78558</v>
      </c>
      <c r="D161" s="12">
        <f t="shared" si="130"/>
        <v>69981.5098</v>
      </c>
      <c r="E161" s="12">
        <f t="shared" si="131"/>
        <v>38402.55</v>
      </c>
      <c r="F161" s="12">
        <f t="shared" si="132"/>
        <v>114764.6667</v>
      </c>
      <c r="G161" s="12">
        <f t="shared" si="133"/>
        <v>685447</v>
      </c>
      <c r="H161" s="12">
        <f>H156/H160</f>
        <v>67740.7907</v>
      </c>
    </row>
    <row r="162">
      <c r="A162" s="10" t="s">
        <v>27</v>
      </c>
      <c r="B162" s="27">
        <f>G33</f>
        <v>0.1322957198</v>
      </c>
      <c r="C162" s="27">
        <f t="shared" ref="C162:C163" si="135">G50</f>
        <v>0.06644518272</v>
      </c>
      <c r="D162" s="27">
        <f t="shared" ref="D162:D163" si="136">G67</f>
        <v>0.07750759878</v>
      </c>
      <c r="E162" s="27">
        <f t="shared" ref="E162:E164" si="137">G84</f>
        <v>0.1041666667</v>
      </c>
      <c r="F162" s="27">
        <f t="shared" ref="F162:F164" si="138">G114</f>
        <v>0.01276595745</v>
      </c>
      <c r="G162" s="27">
        <f t="shared" ref="G162:H162" si="134">G131</f>
        <v>0.0303030303</v>
      </c>
      <c r="H162" s="27">
        <f t="shared" si="134"/>
        <v>0.1</v>
      </c>
    </row>
    <row r="163">
      <c r="A163" s="10" t="s">
        <v>28</v>
      </c>
      <c r="B163" s="21"/>
      <c r="C163" s="21">
        <f t="shared" si="135"/>
        <v>0</v>
      </c>
      <c r="D163" s="21">
        <f t="shared" si="136"/>
        <v>3</v>
      </c>
      <c r="E163" s="21">
        <f t="shared" si="137"/>
        <v>0</v>
      </c>
      <c r="F163" s="21">
        <f t="shared" si="138"/>
        <v>0</v>
      </c>
      <c r="G163" s="21">
        <f t="shared" ref="G163:H163" si="139">G132</f>
        <v>0</v>
      </c>
      <c r="H163" s="21" t="str">
        <f t="shared" si="139"/>
        <v/>
      </c>
    </row>
    <row r="164">
      <c r="A164" s="10" t="s">
        <v>29</v>
      </c>
      <c r="B164" s="21" t="str">
        <f>G35</f>
        <v/>
      </c>
      <c r="C164" s="21"/>
      <c r="D164" s="21"/>
      <c r="E164" s="21" t="str">
        <f t="shared" si="137"/>
        <v/>
      </c>
      <c r="F164" s="21" t="str">
        <f t="shared" si="138"/>
        <v/>
      </c>
      <c r="G164" s="21" t="str">
        <f t="shared" ref="G164:H164" si="140">G133</f>
        <v/>
      </c>
      <c r="H164" s="21" t="str">
        <f t="shared" si="140"/>
        <v/>
      </c>
    </row>
    <row r="165">
      <c r="A165" s="10" t="s">
        <v>32</v>
      </c>
      <c r="B165" s="21" t="str">
        <f>G37</f>
        <v/>
      </c>
      <c r="C165" s="21"/>
      <c r="D165" s="21"/>
      <c r="E165" s="21" t="str">
        <f>G88</f>
        <v/>
      </c>
      <c r="F165" s="21" t="str">
        <f>G118</f>
        <v/>
      </c>
      <c r="G165" s="21" t="str">
        <f t="shared" ref="G165:H165" si="141">G135</f>
        <v/>
      </c>
      <c r="H165" s="21" t="str">
        <f t="shared" si="141"/>
        <v/>
      </c>
    </row>
    <row r="167">
      <c r="A167" s="145" t="s">
        <v>106</v>
      </c>
      <c r="B167" s="146" t="s">
        <v>54</v>
      </c>
      <c r="C167" s="146" t="s">
        <v>55</v>
      </c>
      <c r="D167" s="146" t="s">
        <v>56</v>
      </c>
      <c r="E167" s="146" t="s">
        <v>74</v>
      </c>
      <c r="F167" s="146" t="s">
        <v>94</v>
      </c>
      <c r="G167" s="146" t="s">
        <v>76</v>
      </c>
      <c r="H167" s="146" t="s">
        <v>1</v>
      </c>
    </row>
    <row r="168">
      <c r="A168" s="147" t="s">
        <v>79</v>
      </c>
      <c r="B168" s="104">
        <v>55000.0</v>
      </c>
      <c r="C168" s="104">
        <v>50000.0</v>
      </c>
      <c r="D168" s="104">
        <v>120000.0</v>
      </c>
      <c r="E168" s="104">
        <v>25000.0</v>
      </c>
      <c r="F168" s="104">
        <v>10000.0</v>
      </c>
      <c r="G168" s="104">
        <v>25000.0</v>
      </c>
      <c r="H168" s="148">
        <f t="shared" ref="H168:H169" si="143">SUM(B168:G168)</f>
        <v>285000</v>
      </c>
    </row>
    <row r="169">
      <c r="A169" s="147" t="s">
        <v>19</v>
      </c>
      <c r="B169" s="104">
        <f t="shared" ref="B169:G169" si="142">B168*30</f>
        <v>1650000</v>
      </c>
      <c r="C169" s="104">
        <f t="shared" si="142"/>
        <v>1500000</v>
      </c>
      <c r="D169" s="104">
        <f t="shared" si="142"/>
        <v>3600000</v>
      </c>
      <c r="E169" s="104">
        <f t="shared" si="142"/>
        <v>750000</v>
      </c>
      <c r="F169" s="104">
        <f t="shared" si="142"/>
        <v>300000</v>
      </c>
      <c r="G169" s="104">
        <f t="shared" si="142"/>
        <v>750000</v>
      </c>
      <c r="H169" s="148">
        <f t="shared" si="143"/>
        <v>8550000</v>
      </c>
    </row>
    <row r="170">
      <c r="A170" s="147" t="s">
        <v>80</v>
      </c>
      <c r="B170" s="149">
        <f t="shared" ref="B170:H170" si="144">B169/$H$169</f>
        <v>0.1929824561</v>
      </c>
      <c r="C170" s="149">
        <f t="shared" si="144"/>
        <v>0.1754385965</v>
      </c>
      <c r="D170" s="149">
        <f t="shared" si="144"/>
        <v>0.4210526316</v>
      </c>
      <c r="E170" s="149">
        <f t="shared" si="144"/>
        <v>0.08771929825</v>
      </c>
      <c r="F170" s="149">
        <f t="shared" si="144"/>
        <v>0.0350877193</v>
      </c>
      <c r="G170" s="149">
        <f t="shared" si="144"/>
        <v>0.08771929825</v>
      </c>
      <c r="H170" s="150">
        <f t="shared" si="144"/>
        <v>1</v>
      </c>
    </row>
    <row r="171">
      <c r="A171" s="147" t="s">
        <v>22</v>
      </c>
      <c r="B171" s="104">
        <v>7500.0</v>
      </c>
      <c r="C171" s="104">
        <v>6000.0</v>
      </c>
      <c r="D171" s="104">
        <v>4200.0</v>
      </c>
      <c r="E171" s="104">
        <v>3500.0</v>
      </c>
      <c r="F171" s="104">
        <v>2500.0</v>
      </c>
      <c r="G171" s="104">
        <v>5000.0</v>
      </c>
      <c r="H171" s="151">
        <f>H169/H172</f>
        <v>4720.031546</v>
      </c>
    </row>
    <row r="172">
      <c r="A172" s="147" t="s">
        <v>21</v>
      </c>
      <c r="B172" s="152">
        <f t="shared" ref="B172:G172" si="145">B169/B171</f>
        <v>220</v>
      </c>
      <c r="C172" s="152">
        <f t="shared" si="145"/>
        <v>250</v>
      </c>
      <c r="D172" s="152">
        <f t="shared" si="145"/>
        <v>857.1428571</v>
      </c>
      <c r="E172" s="152">
        <f t="shared" si="145"/>
        <v>214.2857143</v>
      </c>
      <c r="F172" s="152">
        <f t="shared" si="145"/>
        <v>120</v>
      </c>
      <c r="G172" s="152">
        <f t="shared" si="145"/>
        <v>150</v>
      </c>
      <c r="H172" s="153">
        <f>SUM(B172:G172)</f>
        <v>1811.428571</v>
      </c>
    </row>
    <row r="173">
      <c r="A173" s="147" t="s">
        <v>27</v>
      </c>
      <c r="B173" s="113">
        <v>0.12</v>
      </c>
      <c r="C173" s="113">
        <v>0.07</v>
      </c>
      <c r="D173" s="113">
        <v>0.1</v>
      </c>
      <c r="E173" s="113">
        <v>0.08</v>
      </c>
      <c r="F173" s="113">
        <v>0.04</v>
      </c>
      <c r="G173" s="113">
        <v>0.1</v>
      </c>
      <c r="H173" s="150">
        <f>H174/H172</f>
        <v>0.09194794953</v>
      </c>
    </row>
    <row r="174">
      <c r="A174" s="147" t="s">
        <v>24</v>
      </c>
      <c r="B174" s="152">
        <f t="shared" ref="B174:G174" si="146">B172*B173</f>
        <v>26.4</v>
      </c>
      <c r="C174" s="152">
        <f t="shared" si="146"/>
        <v>17.5</v>
      </c>
      <c r="D174" s="152">
        <f t="shared" si="146"/>
        <v>85.71428571</v>
      </c>
      <c r="E174" s="152">
        <f t="shared" si="146"/>
        <v>17.14285714</v>
      </c>
      <c r="F174" s="152">
        <f t="shared" si="146"/>
        <v>4.8</v>
      </c>
      <c r="G174" s="152">
        <f t="shared" si="146"/>
        <v>15</v>
      </c>
      <c r="H174" s="153">
        <f>SUM(B174:G174)</f>
        <v>166.5571429</v>
      </c>
    </row>
    <row r="175">
      <c r="A175" s="147" t="s">
        <v>25</v>
      </c>
      <c r="B175" s="104">
        <f t="shared" ref="B175:H175" si="147">B169/B174</f>
        <v>62500</v>
      </c>
      <c r="C175" s="104">
        <f t="shared" si="147"/>
        <v>85714.28571</v>
      </c>
      <c r="D175" s="104">
        <f t="shared" si="147"/>
        <v>42000</v>
      </c>
      <c r="E175" s="104">
        <f t="shared" si="147"/>
        <v>43750</v>
      </c>
      <c r="F175" s="104">
        <f t="shared" si="147"/>
        <v>62500</v>
      </c>
      <c r="G175" s="104">
        <f t="shared" si="147"/>
        <v>50000</v>
      </c>
      <c r="H175" s="148">
        <f t="shared" si="147"/>
        <v>51333.7336</v>
      </c>
    </row>
  </sheetData>
  <mergeCells count="5">
    <mergeCell ref="K3:Q21"/>
    <mergeCell ref="K24:Q37"/>
    <mergeCell ref="K41:Q54"/>
    <mergeCell ref="K58:Q71"/>
    <mergeCell ref="K121:Q134"/>
  </mergeCells>
  <conditionalFormatting sqref="B162:I162">
    <cfRule type="cellIs" dxfId="0" priority="1" operator="greaterThanOrEqual">
      <formula>"7%"</formula>
    </cfRule>
  </conditionalFormatting>
  <conditionalFormatting sqref="B162:I162">
    <cfRule type="cellIs" dxfId="1" priority="2" operator="lessThan">
      <formula>"7%"</formula>
    </cfRule>
  </conditionalFormatting>
  <hyperlinks>
    <hyperlink r:id="rId1" ref="K3"/>
    <hyperlink r:id="rId2" ref="K24"/>
    <hyperlink r:id="rId3" location="gid=1094408807" ref="K121"/>
  </hyperlinks>
  <printOptions gridLines="1" horizontalCentered="1"/>
  <pageMargins bottom="0.75" footer="0.0" header="0.0" left="0.7" right="0.7" top="0.75"/>
  <pageSetup fitToHeight="0" paperSize="9" cellComments="atEnd" orientation="landscape" pageOrder="overThenDown"/>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9.13"/>
    <col customWidth="1" min="2" max="2" width="19.38"/>
    <col customWidth="1" min="3" max="3" width="18.38"/>
    <col customWidth="1" min="4" max="4" width="18.13"/>
    <col customWidth="1" min="5" max="6" width="16.13"/>
    <col customWidth="1" min="7" max="7" width="15.25"/>
    <col customWidth="1" min="8" max="8" width="13.13"/>
    <col customWidth="1" min="9" max="9" width="15.13"/>
  </cols>
  <sheetData>
    <row r="1">
      <c r="A1" s="2" t="s">
        <v>0</v>
      </c>
      <c r="B1" s="2">
        <v>1381.0</v>
      </c>
      <c r="F1" s="118" t="s">
        <v>36</v>
      </c>
      <c r="G1" s="118">
        <v>30.0</v>
      </c>
      <c r="H1" s="118" t="s">
        <v>37</v>
      </c>
      <c r="I1" s="119">
        <f>G1/30</f>
        <v>1</v>
      </c>
    </row>
    <row r="2">
      <c r="A2" s="4" t="s">
        <v>1</v>
      </c>
    </row>
    <row r="3">
      <c r="A3" s="7" t="s">
        <v>3</v>
      </c>
      <c r="B3" s="8" t="s">
        <v>107</v>
      </c>
      <c r="C3" s="8" t="s">
        <v>108</v>
      </c>
      <c r="D3" s="8" t="s">
        <v>109</v>
      </c>
      <c r="E3" s="8" t="s">
        <v>110</v>
      </c>
      <c r="F3" s="8" t="s">
        <v>111</v>
      </c>
      <c r="G3" s="8" t="s">
        <v>43</v>
      </c>
      <c r="H3" s="9" t="s">
        <v>17</v>
      </c>
      <c r="I3" s="120" t="s">
        <v>44</v>
      </c>
      <c r="J3" s="121" t="s">
        <v>45</v>
      </c>
      <c r="K3" s="140" t="s">
        <v>112</v>
      </c>
      <c r="L3" s="49"/>
      <c r="M3" s="49"/>
      <c r="N3" s="49"/>
      <c r="O3" s="49"/>
      <c r="P3" s="49"/>
      <c r="Q3" s="50"/>
    </row>
    <row r="4">
      <c r="A4" s="10" t="s">
        <v>19</v>
      </c>
      <c r="B4" s="11">
        <f>1297798+85000</f>
        <v>1382798</v>
      </c>
      <c r="C4" s="11">
        <f>150000+1507773</f>
        <v>1657773</v>
      </c>
      <c r="D4" s="11">
        <f>107000+1706941</f>
        <v>1813941</v>
      </c>
      <c r="E4" s="11">
        <f>216000+1735414</f>
        <v>1951414</v>
      </c>
      <c r="F4" s="11">
        <f>536169+27700</f>
        <v>563869</v>
      </c>
      <c r="G4" s="13">
        <f t="shared" ref="G4:G6" si="2">SUM(B4:F4)</f>
        <v>7369795</v>
      </c>
      <c r="H4" s="14">
        <v>8550000.0</v>
      </c>
      <c r="I4" s="123">
        <f t="shared" ref="I4:I6" si="3">G4/H4</f>
        <v>0.8619643275</v>
      </c>
      <c r="J4" s="124">
        <f>$G4/$G$1*30</f>
        <v>7369795</v>
      </c>
      <c r="K4" s="57"/>
      <c r="Q4" s="58"/>
    </row>
    <row r="5">
      <c r="A5" s="10" t="s">
        <v>20</v>
      </c>
      <c r="B5" s="16">
        <f t="shared" ref="B5:F5" si="1">B4/$B$1</f>
        <v>1001.301955</v>
      </c>
      <c r="C5" s="16">
        <f t="shared" si="1"/>
        <v>1200.414917</v>
      </c>
      <c r="D5" s="16">
        <f t="shared" si="1"/>
        <v>1313.49819</v>
      </c>
      <c r="E5" s="16">
        <f t="shared" si="1"/>
        <v>1413.044171</v>
      </c>
      <c r="F5" s="16">
        <f t="shared" si="1"/>
        <v>408.3048516</v>
      </c>
      <c r="G5" s="17">
        <f t="shared" si="2"/>
        <v>5336.564084</v>
      </c>
      <c r="H5" s="18">
        <f>H4/$B$1</f>
        <v>6191.165822</v>
      </c>
      <c r="I5" s="123">
        <f t="shared" si="3"/>
        <v>0.8619643275</v>
      </c>
      <c r="J5" s="125">
        <f>J4/$B$1</f>
        <v>5336.564084</v>
      </c>
      <c r="K5" s="57"/>
      <c r="Q5" s="58"/>
    </row>
    <row r="6">
      <c r="A6" s="10" t="s">
        <v>21</v>
      </c>
      <c r="B6" s="20">
        <v>316.0</v>
      </c>
      <c r="C6" s="20">
        <v>369.0</v>
      </c>
      <c r="D6" s="20">
        <v>358.0</v>
      </c>
      <c r="E6" s="20">
        <v>411.0</v>
      </c>
      <c r="F6" s="20">
        <v>119.0</v>
      </c>
      <c r="G6" s="22">
        <f t="shared" si="2"/>
        <v>1573</v>
      </c>
      <c r="H6" s="126">
        <f>H4/H7</f>
        <v>1905.080214</v>
      </c>
      <c r="I6" s="123">
        <f t="shared" si="3"/>
        <v>0.8256870175</v>
      </c>
      <c r="J6" s="127">
        <f>$G6/$G$1*30</f>
        <v>1573</v>
      </c>
      <c r="K6" s="57"/>
      <c r="Q6" s="58"/>
    </row>
    <row r="7">
      <c r="A7" s="10" t="s">
        <v>22</v>
      </c>
      <c r="B7" s="12">
        <f t="shared" ref="B7:F7" si="4">B4/B6</f>
        <v>4375.943038</v>
      </c>
      <c r="C7" s="12">
        <f t="shared" si="4"/>
        <v>4492.609756</v>
      </c>
      <c r="D7" s="12">
        <f t="shared" si="4"/>
        <v>5066.874302</v>
      </c>
      <c r="E7" s="12">
        <f t="shared" si="4"/>
        <v>4747.965937</v>
      </c>
      <c r="F7" s="12">
        <f t="shared" si="4"/>
        <v>4738.394958</v>
      </c>
      <c r="G7" s="13">
        <f>G4/$G$6</f>
        <v>4685.184361</v>
      </c>
      <c r="H7" s="14">
        <v>4488.0</v>
      </c>
      <c r="I7" s="123">
        <f>H7/G7-1</f>
        <v>-0.04208678803</v>
      </c>
      <c r="J7" s="124">
        <f>J4/J6</f>
        <v>4685.184361</v>
      </c>
      <c r="K7" s="57"/>
      <c r="Q7" s="58"/>
    </row>
    <row r="8">
      <c r="A8" s="10" t="s">
        <v>23</v>
      </c>
      <c r="B8" s="16">
        <f t="shared" ref="B8:F8" si="5">B7/$B$1</f>
        <v>3.168677073</v>
      </c>
      <c r="C8" s="16">
        <f t="shared" si="5"/>
        <v>3.253156956</v>
      </c>
      <c r="D8" s="16">
        <f t="shared" si="5"/>
        <v>3.668989357</v>
      </c>
      <c r="E8" s="16">
        <f t="shared" si="5"/>
        <v>3.438063676</v>
      </c>
      <c r="F8" s="16">
        <f t="shared" si="5"/>
        <v>3.431133206</v>
      </c>
      <c r="G8" s="17">
        <f t="shared" ref="G8:H8" si="6">G5/G$6</f>
        <v>3.392602723</v>
      </c>
      <c r="H8" s="18">
        <f t="shared" si="6"/>
        <v>3.249818972</v>
      </c>
      <c r="I8" s="123"/>
      <c r="J8" s="127"/>
      <c r="K8" s="57"/>
      <c r="Q8" s="58"/>
    </row>
    <row r="9">
      <c r="A9" s="10" t="s">
        <v>113</v>
      </c>
      <c r="B9" s="20">
        <v>39.0</v>
      </c>
      <c r="C9" s="20">
        <v>39.0</v>
      </c>
      <c r="D9" s="20">
        <v>39.0</v>
      </c>
      <c r="E9" s="20">
        <v>32.0</v>
      </c>
      <c r="F9" s="20">
        <v>13.0</v>
      </c>
      <c r="G9" s="22">
        <f t="shared" ref="G9:G10" si="7">SUM(B9:F9)</f>
        <v>162</v>
      </c>
      <c r="H9" s="126">
        <f>H6*H13</f>
        <v>161.9318182</v>
      </c>
      <c r="I9" s="123">
        <f>G9/H9</f>
        <v>1.000421053</v>
      </c>
      <c r="J9" s="127">
        <f>$G9/$G$1*30</f>
        <v>162</v>
      </c>
      <c r="K9" s="57"/>
      <c r="Q9" s="58"/>
    </row>
    <row r="10">
      <c r="A10" s="10" t="s">
        <v>114</v>
      </c>
      <c r="B10" s="20">
        <v>37.0</v>
      </c>
      <c r="C10" s="20">
        <v>37.0</v>
      </c>
      <c r="D10" s="20">
        <v>38.0</v>
      </c>
      <c r="E10" s="20">
        <v>23.0</v>
      </c>
      <c r="F10" s="20">
        <v>8.0</v>
      </c>
      <c r="G10" s="22">
        <f t="shared" si="7"/>
        <v>143</v>
      </c>
      <c r="H10" s="23">
        <v>162.0</v>
      </c>
      <c r="I10" s="123"/>
      <c r="J10" s="127"/>
      <c r="K10" s="57"/>
      <c r="Q10" s="58"/>
    </row>
    <row r="11">
      <c r="A11" s="10" t="s">
        <v>25</v>
      </c>
      <c r="B11" s="12">
        <f t="shared" ref="B11:F11" si="8">B4/B10</f>
        <v>37372.91892</v>
      </c>
      <c r="C11" s="12">
        <f t="shared" si="8"/>
        <v>44804.67568</v>
      </c>
      <c r="D11" s="12">
        <f t="shared" si="8"/>
        <v>47735.28947</v>
      </c>
      <c r="E11" s="12">
        <f t="shared" si="8"/>
        <v>84844.08696</v>
      </c>
      <c r="F11" s="12">
        <f t="shared" si="8"/>
        <v>70483.625</v>
      </c>
      <c r="G11" s="13">
        <f t="shared" ref="G11:G12" si="10">G4/G$10</f>
        <v>51537.02797</v>
      </c>
      <c r="H11" s="25">
        <f>H4/H10</f>
        <v>52777.77778</v>
      </c>
      <c r="I11" s="123"/>
      <c r="J11" s="128">
        <f>J4/J9</f>
        <v>45492.56173</v>
      </c>
      <c r="K11" s="57"/>
      <c r="Q11" s="58"/>
    </row>
    <row r="12">
      <c r="A12" s="10" t="s">
        <v>26</v>
      </c>
      <c r="B12" s="16">
        <f t="shared" ref="B12:F12" si="9">B11/$B$1</f>
        <v>27.062215</v>
      </c>
      <c r="C12" s="16">
        <f t="shared" si="9"/>
        <v>32.4436464</v>
      </c>
      <c r="D12" s="16">
        <f t="shared" si="9"/>
        <v>34.56574183</v>
      </c>
      <c r="E12" s="16">
        <f t="shared" si="9"/>
        <v>61.43670308</v>
      </c>
      <c r="F12" s="16">
        <f t="shared" si="9"/>
        <v>51.03810644</v>
      </c>
      <c r="G12" s="17">
        <f t="shared" si="10"/>
        <v>37.31862996</v>
      </c>
      <c r="H12" s="18">
        <f>H5/H$9</f>
        <v>38.23316437</v>
      </c>
      <c r="I12" s="129"/>
      <c r="J12" s="130"/>
      <c r="K12" s="57"/>
      <c r="Q12" s="58"/>
    </row>
    <row r="13">
      <c r="A13" s="10" t="s">
        <v>27</v>
      </c>
      <c r="B13" s="27">
        <f t="shared" ref="B13:G13" si="11">B9/B6</f>
        <v>0.1234177215</v>
      </c>
      <c r="C13" s="27">
        <f t="shared" si="11"/>
        <v>0.1056910569</v>
      </c>
      <c r="D13" s="27">
        <f t="shared" si="11"/>
        <v>0.1089385475</v>
      </c>
      <c r="E13" s="27">
        <f t="shared" si="11"/>
        <v>0.07785888078</v>
      </c>
      <c r="F13" s="27">
        <f t="shared" si="11"/>
        <v>0.1092436975</v>
      </c>
      <c r="G13" s="28">
        <f t="shared" si="11"/>
        <v>0.1029879212</v>
      </c>
      <c r="H13" s="29">
        <v>0.085</v>
      </c>
      <c r="I13" s="129"/>
      <c r="J13" s="130">
        <f>J9/J6</f>
        <v>0.1029879212</v>
      </c>
      <c r="K13" s="57"/>
      <c r="Q13" s="58"/>
    </row>
    <row r="14">
      <c r="A14" s="10" t="s">
        <v>28</v>
      </c>
      <c r="B14" s="20">
        <v>1.0</v>
      </c>
      <c r="C14" s="20">
        <v>1.0</v>
      </c>
      <c r="D14" s="20">
        <v>1.0</v>
      </c>
      <c r="E14" s="20">
        <v>1.0</v>
      </c>
      <c r="F14" s="20">
        <v>1.0</v>
      </c>
      <c r="G14" s="22">
        <f>SUM(B14:F14)</f>
        <v>5</v>
      </c>
      <c r="H14" s="31"/>
      <c r="I14" s="129"/>
      <c r="J14" s="131">
        <f>$G14/$G$1*30</f>
        <v>5</v>
      </c>
      <c r="K14" s="57"/>
      <c r="Q14" s="58"/>
    </row>
    <row r="15">
      <c r="A15" s="10" t="s">
        <v>53</v>
      </c>
      <c r="B15" s="12">
        <f t="shared" ref="B15:F15" si="12">B4/B14</f>
        <v>1382798</v>
      </c>
      <c r="C15" s="12">
        <f t="shared" si="12"/>
        <v>1657773</v>
      </c>
      <c r="D15" s="12">
        <f t="shared" si="12"/>
        <v>1813941</v>
      </c>
      <c r="E15" s="12">
        <f t="shared" si="12"/>
        <v>1951414</v>
      </c>
      <c r="F15" s="12">
        <f t="shared" si="12"/>
        <v>563869</v>
      </c>
      <c r="G15" s="13">
        <f t="shared" ref="G15:G16" si="14">G4/G$14</f>
        <v>1473959</v>
      </c>
      <c r="H15" s="31"/>
      <c r="I15" s="129"/>
      <c r="J15" s="128">
        <f>J4/J14</f>
        <v>1473959</v>
      </c>
      <c r="K15" s="57"/>
      <c r="Q15" s="58"/>
    </row>
    <row r="16">
      <c r="A16" s="10" t="s">
        <v>30</v>
      </c>
      <c r="B16" s="16">
        <f t="shared" ref="B16:F16" si="13">B15/$B$1</f>
        <v>1001.301955</v>
      </c>
      <c r="C16" s="16">
        <f t="shared" si="13"/>
        <v>1200.414917</v>
      </c>
      <c r="D16" s="16">
        <f t="shared" si="13"/>
        <v>1313.49819</v>
      </c>
      <c r="E16" s="16">
        <f t="shared" si="13"/>
        <v>1413.044171</v>
      </c>
      <c r="F16" s="16">
        <f t="shared" si="13"/>
        <v>408.3048516</v>
      </c>
      <c r="G16" s="17">
        <f t="shared" si="14"/>
        <v>1067.312817</v>
      </c>
      <c r="H16" s="31"/>
      <c r="I16" s="129"/>
      <c r="J16" s="132"/>
      <c r="K16" s="57"/>
      <c r="Q16" s="58"/>
    </row>
    <row r="17">
      <c r="A17" s="10" t="s">
        <v>32</v>
      </c>
      <c r="B17" s="27">
        <f t="shared" ref="B17:G17" si="15">B14/B6</f>
        <v>0.003164556962</v>
      </c>
      <c r="C17" s="27">
        <f t="shared" si="15"/>
        <v>0.0027100271</v>
      </c>
      <c r="D17" s="27">
        <f t="shared" si="15"/>
        <v>0.002793296089</v>
      </c>
      <c r="E17" s="27">
        <f t="shared" si="15"/>
        <v>0.002433090024</v>
      </c>
      <c r="F17" s="27">
        <f t="shared" si="15"/>
        <v>0.008403361345</v>
      </c>
      <c r="G17" s="28">
        <f t="shared" si="15"/>
        <v>0.003178639542</v>
      </c>
      <c r="H17" s="31"/>
      <c r="I17" s="129"/>
      <c r="J17" s="132">
        <f>J14/J6</f>
        <v>0.003178639542</v>
      </c>
      <c r="K17" s="81"/>
      <c r="L17" s="82"/>
      <c r="M17" s="82"/>
      <c r="N17" s="82"/>
      <c r="O17" s="82"/>
      <c r="P17" s="82"/>
      <c r="Q17" s="83"/>
    </row>
    <row r="19">
      <c r="A19" s="133" t="s">
        <v>54</v>
      </c>
    </row>
    <row r="20">
      <c r="A20" s="7" t="s">
        <v>3</v>
      </c>
      <c r="B20" s="8" t="s">
        <v>107</v>
      </c>
      <c r="C20" s="8" t="s">
        <v>108</v>
      </c>
      <c r="D20" s="8" t="s">
        <v>109</v>
      </c>
      <c r="E20" s="8" t="s">
        <v>110</v>
      </c>
      <c r="F20" s="8" t="str">
        <f>F3</f>
        <v>29/09 al 30/09</v>
      </c>
      <c r="G20" s="8" t="s">
        <v>43</v>
      </c>
      <c r="H20" s="9" t="s">
        <v>17</v>
      </c>
      <c r="I20" s="121" t="s">
        <v>45</v>
      </c>
      <c r="K20" s="140" t="s">
        <v>115</v>
      </c>
      <c r="L20" s="49"/>
      <c r="M20" s="49"/>
      <c r="N20" s="49"/>
      <c r="O20" s="49"/>
      <c r="P20" s="49"/>
      <c r="Q20" s="50"/>
    </row>
    <row r="21">
      <c r="A21" s="10" t="s">
        <v>19</v>
      </c>
      <c r="B21" s="11">
        <v>203672.0</v>
      </c>
      <c r="C21" s="11">
        <v>279899.0</v>
      </c>
      <c r="D21" s="11">
        <v>373845.0</v>
      </c>
      <c r="E21" s="11">
        <v>331528.0</v>
      </c>
      <c r="F21" s="11">
        <v>98411.0</v>
      </c>
      <c r="G21" s="13">
        <f t="shared" ref="G21:G23" si="17">SUM(B21:F21)</f>
        <v>1287355</v>
      </c>
      <c r="H21" s="134">
        <v>1650000.0</v>
      </c>
      <c r="I21" s="124">
        <f>$G21/$G$1*30</f>
        <v>1287355</v>
      </c>
      <c r="J21" s="37">
        <f>(H21-G21)/15</f>
        <v>24176.33333</v>
      </c>
      <c r="K21" s="57"/>
      <c r="Q21" s="58"/>
    </row>
    <row r="22">
      <c r="A22" s="10" t="s">
        <v>20</v>
      </c>
      <c r="B22" s="16">
        <f t="shared" ref="B22:F22" si="16">B21/$B$1</f>
        <v>147.4815351</v>
      </c>
      <c r="C22" s="16">
        <f t="shared" si="16"/>
        <v>202.6784938</v>
      </c>
      <c r="D22" s="16">
        <f t="shared" si="16"/>
        <v>270.7060101</v>
      </c>
      <c r="E22" s="16">
        <f t="shared" si="16"/>
        <v>240.0637219</v>
      </c>
      <c r="F22" s="16">
        <f t="shared" si="16"/>
        <v>71.26068067</v>
      </c>
      <c r="G22" s="17">
        <f t="shared" si="17"/>
        <v>932.1904417</v>
      </c>
      <c r="H22" s="143"/>
      <c r="I22" s="127"/>
      <c r="K22" s="57"/>
      <c r="Q22" s="58"/>
    </row>
    <row r="23">
      <c r="A23" s="10" t="s">
        <v>21</v>
      </c>
      <c r="B23" s="20">
        <v>30.0</v>
      </c>
      <c r="C23" s="20">
        <v>21.0</v>
      </c>
      <c r="D23" s="20">
        <v>45.0</v>
      </c>
      <c r="E23" s="20">
        <v>43.0</v>
      </c>
      <c r="F23" s="20">
        <v>17.0</v>
      </c>
      <c r="G23" s="22">
        <f t="shared" si="17"/>
        <v>156</v>
      </c>
      <c r="H23" s="143">
        <v>330.0</v>
      </c>
      <c r="I23" s="127">
        <f>$G23/$G$1*30</f>
        <v>156</v>
      </c>
      <c r="K23" s="57"/>
      <c r="Q23" s="58"/>
    </row>
    <row r="24">
      <c r="A24" s="10" t="s">
        <v>22</v>
      </c>
      <c r="B24" s="12">
        <f t="shared" ref="B24:F24" si="18">B21/B23</f>
        <v>6789.066667</v>
      </c>
      <c r="C24" s="12">
        <f t="shared" si="18"/>
        <v>13328.52381</v>
      </c>
      <c r="D24" s="12">
        <f t="shared" si="18"/>
        <v>8307.666667</v>
      </c>
      <c r="E24" s="12">
        <f t="shared" si="18"/>
        <v>7709.953488</v>
      </c>
      <c r="F24" s="12">
        <f t="shared" si="18"/>
        <v>5788.882353</v>
      </c>
      <c r="G24" s="13">
        <f t="shared" ref="G24:G25" si="21">G21/G$23</f>
        <v>8252.275641</v>
      </c>
      <c r="H24" s="136">
        <f t="shared" ref="H24:I24" si="19">H21/H23</f>
        <v>5000</v>
      </c>
      <c r="I24" s="124">
        <f t="shared" si="19"/>
        <v>8252.275641</v>
      </c>
      <c r="K24" s="57"/>
      <c r="Q24" s="58"/>
    </row>
    <row r="25">
      <c r="A25" s="10" t="s">
        <v>23</v>
      </c>
      <c r="B25" s="16">
        <f t="shared" ref="B25:F25" si="20">B24/$B$1</f>
        <v>4.916051171</v>
      </c>
      <c r="C25" s="16">
        <f t="shared" si="20"/>
        <v>9.65135685</v>
      </c>
      <c r="D25" s="16">
        <f t="shared" si="20"/>
        <v>6.015689114</v>
      </c>
      <c r="E25" s="16">
        <f t="shared" si="20"/>
        <v>5.582877254</v>
      </c>
      <c r="F25" s="16">
        <f t="shared" si="20"/>
        <v>4.191804745</v>
      </c>
      <c r="G25" s="17">
        <f t="shared" si="21"/>
        <v>5.975579755</v>
      </c>
      <c r="H25" s="143"/>
      <c r="I25" s="127"/>
      <c r="K25" s="57"/>
      <c r="Q25" s="58"/>
    </row>
    <row r="26">
      <c r="A26" s="10" t="s">
        <v>47</v>
      </c>
      <c r="B26" s="20">
        <v>3.0</v>
      </c>
      <c r="C26" s="20">
        <v>1.0</v>
      </c>
      <c r="D26" s="20">
        <v>11.0</v>
      </c>
      <c r="E26" s="20">
        <v>7.0</v>
      </c>
      <c r="F26" s="20">
        <v>7.0</v>
      </c>
      <c r="G26" s="22">
        <f t="shared" ref="G26:G27" si="22">SUM(B26:F26)</f>
        <v>29</v>
      </c>
      <c r="H26" s="143">
        <v>25.0</v>
      </c>
      <c r="I26" s="127">
        <f>$G26/$G$1*30</f>
        <v>29</v>
      </c>
      <c r="K26" s="57"/>
      <c r="Q26" s="58"/>
    </row>
    <row r="27">
      <c r="A27" s="10" t="s">
        <v>48</v>
      </c>
      <c r="B27" s="20">
        <v>3.0</v>
      </c>
      <c r="C27" s="20">
        <v>1.0</v>
      </c>
      <c r="D27" s="20">
        <v>9.0</v>
      </c>
      <c r="E27" s="20">
        <v>6.0</v>
      </c>
      <c r="F27" s="20">
        <v>6.0</v>
      </c>
      <c r="G27" s="22">
        <f t="shared" si="22"/>
        <v>25</v>
      </c>
      <c r="H27" s="143"/>
      <c r="I27" s="127"/>
      <c r="K27" s="57"/>
      <c r="Q27" s="58"/>
    </row>
    <row r="28">
      <c r="A28" s="10" t="s">
        <v>25</v>
      </c>
      <c r="B28" s="12">
        <f t="shared" ref="B28:F28" si="23">B21/B27</f>
        <v>67890.66667</v>
      </c>
      <c r="C28" s="12">
        <f t="shared" si="23"/>
        <v>279899</v>
      </c>
      <c r="D28" s="12">
        <f t="shared" si="23"/>
        <v>41538.33333</v>
      </c>
      <c r="E28" s="12">
        <f t="shared" si="23"/>
        <v>55254.66667</v>
      </c>
      <c r="F28" s="12">
        <f t="shared" si="23"/>
        <v>16401.83333</v>
      </c>
      <c r="G28" s="13">
        <f t="shared" ref="G28:G29" si="26">G21/G$27</f>
        <v>51494.2</v>
      </c>
      <c r="H28" s="136">
        <f t="shared" ref="H28:I28" si="24">H21/H26</f>
        <v>66000</v>
      </c>
      <c r="I28" s="128">
        <f t="shared" si="24"/>
        <v>44391.55172</v>
      </c>
      <c r="K28" s="57"/>
      <c r="Q28" s="58"/>
    </row>
    <row r="29">
      <c r="A29" s="10" t="s">
        <v>26</v>
      </c>
      <c r="B29" s="16">
        <f t="shared" ref="B29:F29" si="25">B28/$B$1</f>
        <v>49.16051171</v>
      </c>
      <c r="C29" s="16">
        <f t="shared" si="25"/>
        <v>202.6784938</v>
      </c>
      <c r="D29" s="16">
        <f t="shared" si="25"/>
        <v>30.07844557</v>
      </c>
      <c r="E29" s="16">
        <f t="shared" si="25"/>
        <v>40.01062032</v>
      </c>
      <c r="F29" s="16">
        <f t="shared" si="25"/>
        <v>11.87678011</v>
      </c>
      <c r="G29" s="17">
        <f t="shared" si="26"/>
        <v>37.28761767</v>
      </c>
      <c r="H29" s="137"/>
      <c r="I29" s="130"/>
      <c r="K29" s="57"/>
      <c r="Q29" s="58"/>
    </row>
    <row r="30">
      <c r="A30" s="10" t="s">
        <v>27</v>
      </c>
      <c r="B30" s="27">
        <f t="shared" ref="B30:G30" si="27">B27/B23</f>
        <v>0.1</v>
      </c>
      <c r="C30" s="27">
        <f t="shared" si="27"/>
        <v>0.04761904762</v>
      </c>
      <c r="D30" s="27">
        <f t="shared" si="27"/>
        <v>0.2</v>
      </c>
      <c r="E30" s="27">
        <f t="shared" si="27"/>
        <v>0.1395348837</v>
      </c>
      <c r="F30" s="27">
        <f t="shared" si="27"/>
        <v>0.3529411765</v>
      </c>
      <c r="G30" s="28">
        <f t="shared" si="27"/>
        <v>0.1602564103</v>
      </c>
      <c r="H30" s="137">
        <f t="shared" ref="H30:I30" si="28">H26/H23</f>
        <v>0.07575757576</v>
      </c>
      <c r="I30" s="130">
        <f t="shared" si="28"/>
        <v>0.1858974359</v>
      </c>
      <c r="K30" s="57"/>
      <c r="Q30" s="58"/>
    </row>
    <row r="31">
      <c r="A31" s="10" t="s">
        <v>28</v>
      </c>
      <c r="B31" s="20">
        <v>0.0</v>
      </c>
      <c r="C31" s="20">
        <v>0.0</v>
      </c>
      <c r="D31" s="20">
        <v>0.0</v>
      </c>
      <c r="E31" s="21"/>
      <c r="F31" s="21"/>
      <c r="G31" s="32">
        <v>1.0</v>
      </c>
      <c r="H31" s="31"/>
      <c r="I31" s="131">
        <f>$G31/$G$1*30</f>
        <v>1</v>
      </c>
      <c r="K31" s="57"/>
      <c r="Q31" s="58"/>
    </row>
    <row r="32">
      <c r="A32" s="10" t="s">
        <v>29</v>
      </c>
      <c r="B32" s="21"/>
      <c r="C32" s="21"/>
      <c r="D32" s="21"/>
      <c r="E32" s="21"/>
      <c r="F32" s="21"/>
      <c r="G32" s="13">
        <f>G21/G31</f>
        <v>1287355</v>
      </c>
      <c r="H32" s="31"/>
      <c r="I32" s="128">
        <f>I21/I31</f>
        <v>1287355</v>
      </c>
      <c r="K32" s="57"/>
      <c r="Q32" s="58"/>
    </row>
    <row r="33">
      <c r="A33" s="10" t="s">
        <v>30</v>
      </c>
      <c r="B33" s="16">
        <f t="shared" ref="B33:D33" si="29">B32/$B$1</f>
        <v>0</v>
      </c>
      <c r="C33" s="16">
        <f t="shared" si="29"/>
        <v>0</v>
      </c>
      <c r="D33" s="16">
        <f t="shared" si="29"/>
        <v>0</v>
      </c>
      <c r="E33" s="21"/>
      <c r="F33" s="21"/>
      <c r="G33" s="22"/>
      <c r="H33" s="31"/>
      <c r="I33" s="132"/>
      <c r="K33" s="57"/>
      <c r="Q33" s="58"/>
    </row>
    <row r="34">
      <c r="A34" s="10" t="s">
        <v>32</v>
      </c>
      <c r="B34" s="21"/>
      <c r="C34" s="21"/>
      <c r="D34" s="21"/>
      <c r="E34" s="21"/>
      <c r="F34" s="21"/>
      <c r="G34" s="22"/>
      <c r="H34" s="31"/>
      <c r="I34" s="132">
        <f>I31/I23</f>
        <v>0.00641025641</v>
      </c>
      <c r="K34" s="81"/>
      <c r="L34" s="82"/>
      <c r="M34" s="82"/>
      <c r="N34" s="82"/>
      <c r="O34" s="82"/>
      <c r="P34" s="82"/>
      <c r="Q34" s="83"/>
    </row>
    <row r="37">
      <c r="A37" s="139" t="s">
        <v>55</v>
      </c>
    </row>
    <row r="38">
      <c r="A38" s="7" t="s">
        <v>3</v>
      </c>
      <c r="B38" s="8" t="s">
        <v>107</v>
      </c>
      <c r="C38" s="8" t="s">
        <v>108</v>
      </c>
      <c r="D38" s="8" t="s">
        <v>109</v>
      </c>
      <c r="E38" s="8" t="s">
        <v>110</v>
      </c>
      <c r="F38" s="8" t="str">
        <f>F3</f>
        <v>29/09 al 30/09</v>
      </c>
      <c r="G38" s="8" t="s">
        <v>43</v>
      </c>
      <c r="H38" s="9" t="s">
        <v>17</v>
      </c>
      <c r="I38" s="121" t="s">
        <v>45</v>
      </c>
      <c r="K38" s="140" t="s">
        <v>116</v>
      </c>
      <c r="L38" s="49"/>
      <c r="M38" s="49"/>
      <c r="N38" s="49"/>
      <c r="O38" s="49"/>
      <c r="P38" s="49"/>
      <c r="Q38" s="50"/>
    </row>
    <row r="39">
      <c r="A39" s="10" t="s">
        <v>19</v>
      </c>
      <c r="B39" s="11">
        <v>505273.0</v>
      </c>
      <c r="C39" s="11">
        <v>395563.0</v>
      </c>
      <c r="D39" s="11">
        <v>343327.0</v>
      </c>
      <c r="E39" s="11">
        <v>367855.0</v>
      </c>
      <c r="F39" s="11">
        <v>115279.0</v>
      </c>
      <c r="G39" s="13">
        <f t="shared" ref="G39:G41" si="31">SUM(B39:F39)</f>
        <v>1727297</v>
      </c>
      <c r="H39" s="134">
        <v>1650000.0</v>
      </c>
      <c r="I39" s="124">
        <f>$G39/$G$1*30</f>
        <v>1727297</v>
      </c>
      <c r="J39" s="37">
        <f>(H39-G39)/15</f>
        <v>-5153.133333</v>
      </c>
      <c r="K39" s="57"/>
      <c r="Q39" s="58"/>
    </row>
    <row r="40">
      <c r="A40" s="10" t="s">
        <v>20</v>
      </c>
      <c r="B40" s="16">
        <f t="shared" ref="B40:F40" si="30">B39/$B$1</f>
        <v>365.8747285</v>
      </c>
      <c r="C40" s="16">
        <f t="shared" si="30"/>
        <v>286.4322954</v>
      </c>
      <c r="D40" s="16">
        <f t="shared" si="30"/>
        <v>248.6075308</v>
      </c>
      <c r="E40" s="16">
        <f t="shared" si="30"/>
        <v>266.3685735</v>
      </c>
      <c r="F40" s="16">
        <f t="shared" si="30"/>
        <v>83.4750181</v>
      </c>
      <c r="G40" s="17">
        <f t="shared" si="31"/>
        <v>1250.758146</v>
      </c>
      <c r="H40" s="143"/>
      <c r="I40" s="127"/>
      <c r="K40" s="57"/>
      <c r="Q40" s="58"/>
    </row>
    <row r="41">
      <c r="A41" s="10" t="s">
        <v>21</v>
      </c>
      <c r="B41" s="20">
        <v>56.0</v>
      </c>
      <c r="C41" s="20">
        <v>69.0</v>
      </c>
      <c r="D41" s="20">
        <v>55.0</v>
      </c>
      <c r="E41" s="20">
        <v>75.0</v>
      </c>
      <c r="F41" s="20">
        <v>18.0</v>
      </c>
      <c r="G41" s="22">
        <f t="shared" si="31"/>
        <v>273</v>
      </c>
      <c r="H41" s="143">
        <v>330.0</v>
      </c>
      <c r="I41" s="127">
        <f>$G41/$G$1*30</f>
        <v>273</v>
      </c>
      <c r="K41" s="57"/>
      <c r="Q41" s="58"/>
    </row>
    <row r="42">
      <c r="A42" s="10" t="s">
        <v>22</v>
      </c>
      <c r="B42" s="12">
        <f t="shared" ref="B42:F42" si="32">B39/B41</f>
        <v>9022.732143</v>
      </c>
      <c r="C42" s="12">
        <f t="shared" si="32"/>
        <v>5732.797101</v>
      </c>
      <c r="D42" s="12">
        <f t="shared" si="32"/>
        <v>6242.309091</v>
      </c>
      <c r="E42" s="12">
        <f t="shared" si="32"/>
        <v>4904.733333</v>
      </c>
      <c r="F42" s="12">
        <f t="shared" si="32"/>
        <v>6404.388889</v>
      </c>
      <c r="G42" s="13">
        <f t="shared" ref="G42:G43" si="35">G39/G$41</f>
        <v>6327.095238</v>
      </c>
      <c r="H42" s="136">
        <f t="shared" ref="H42:I42" si="33">H39/H41</f>
        <v>5000</v>
      </c>
      <c r="I42" s="124">
        <f t="shared" si="33"/>
        <v>6327.095238</v>
      </c>
      <c r="K42" s="57"/>
      <c r="Q42" s="58"/>
    </row>
    <row r="43">
      <c r="A43" s="10" t="s">
        <v>23</v>
      </c>
      <c r="B43" s="16">
        <f t="shared" ref="B43:F43" si="34">B42/$B$1</f>
        <v>6.533477294</v>
      </c>
      <c r="C43" s="16">
        <f t="shared" si="34"/>
        <v>4.151192688</v>
      </c>
      <c r="D43" s="16">
        <f t="shared" si="34"/>
        <v>4.520136923</v>
      </c>
      <c r="E43" s="16">
        <f t="shared" si="34"/>
        <v>3.55158098</v>
      </c>
      <c r="F43" s="16">
        <f t="shared" si="34"/>
        <v>4.637501006</v>
      </c>
      <c r="G43" s="17">
        <f t="shared" si="35"/>
        <v>4.581531671</v>
      </c>
      <c r="H43" s="143"/>
      <c r="I43" s="127"/>
      <c r="K43" s="57"/>
      <c r="Q43" s="58"/>
    </row>
    <row r="44">
      <c r="A44" s="10" t="s">
        <v>47</v>
      </c>
      <c r="B44" s="20">
        <v>3.0</v>
      </c>
      <c r="C44" s="20">
        <v>5.0</v>
      </c>
      <c r="D44" s="20">
        <v>4.0</v>
      </c>
      <c r="E44" s="20">
        <v>5.0</v>
      </c>
      <c r="F44" s="20">
        <v>1.0</v>
      </c>
      <c r="G44" s="22">
        <f t="shared" ref="G44:G45" si="36">SUM(B44:F44)</f>
        <v>18</v>
      </c>
      <c r="H44" s="143">
        <v>25.0</v>
      </c>
      <c r="I44" s="127">
        <f>$G44/$G$1*30</f>
        <v>18</v>
      </c>
      <c r="K44" s="57"/>
      <c r="Q44" s="58"/>
    </row>
    <row r="45">
      <c r="A45" s="10" t="s">
        <v>48</v>
      </c>
      <c r="B45" s="20">
        <v>3.0</v>
      </c>
      <c r="C45" s="20">
        <v>4.0</v>
      </c>
      <c r="D45" s="20">
        <v>4.0</v>
      </c>
      <c r="E45" s="20">
        <v>4.0</v>
      </c>
      <c r="F45" s="20">
        <v>0.0</v>
      </c>
      <c r="G45" s="22">
        <f t="shared" si="36"/>
        <v>15</v>
      </c>
      <c r="H45" s="143"/>
      <c r="I45" s="127"/>
      <c r="K45" s="57"/>
      <c r="Q45" s="58"/>
    </row>
    <row r="46">
      <c r="A46" s="10" t="s">
        <v>25</v>
      </c>
      <c r="B46" s="12">
        <f t="shared" ref="B46:F46" si="37">B39/B45</f>
        <v>168424.3333</v>
      </c>
      <c r="C46" s="12">
        <f t="shared" si="37"/>
        <v>98890.75</v>
      </c>
      <c r="D46" s="12">
        <f t="shared" si="37"/>
        <v>85831.75</v>
      </c>
      <c r="E46" s="12">
        <f t="shared" si="37"/>
        <v>91963.75</v>
      </c>
      <c r="F46" s="21" t="str">
        <f t="shared" si="37"/>
        <v>#DIV/0!</v>
      </c>
      <c r="G46" s="13">
        <f t="shared" ref="G46:G47" si="40">G39/G$45</f>
        <v>115153.1333</v>
      </c>
      <c r="H46" s="136">
        <f t="shared" ref="H46:I46" si="38">H39/H44</f>
        <v>66000</v>
      </c>
      <c r="I46" s="128">
        <f t="shared" si="38"/>
        <v>95960.94444</v>
      </c>
      <c r="K46" s="57"/>
      <c r="Q46" s="58"/>
    </row>
    <row r="47">
      <c r="A47" s="10" t="s">
        <v>26</v>
      </c>
      <c r="B47" s="16">
        <f t="shared" ref="B47:F47" si="39">B46/$B$1</f>
        <v>121.9582428</v>
      </c>
      <c r="C47" s="16">
        <f t="shared" si="39"/>
        <v>71.60807386</v>
      </c>
      <c r="D47" s="16">
        <f t="shared" si="39"/>
        <v>62.15188269</v>
      </c>
      <c r="E47" s="16">
        <f t="shared" si="39"/>
        <v>66.59214337</v>
      </c>
      <c r="F47" s="16" t="str">
        <f t="shared" si="39"/>
        <v>#DIV/0!</v>
      </c>
      <c r="G47" s="17">
        <f t="shared" si="40"/>
        <v>83.38387642</v>
      </c>
      <c r="H47" s="137"/>
      <c r="I47" s="130"/>
      <c r="K47" s="57"/>
      <c r="Q47" s="58"/>
    </row>
    <row r="48">
      <c r="A48" s="10" t="s">
        <v>27</v>
      </c>
      <c r="B48" s="27">
        <f t="shared" ref="B48:G48" si="41">B45/B41</f>
        <v>0.05357142857</v>
      </c>
      <c r="C48" s="27">
        <f t="shared" si="41"/>
        <v>0.05797101449</v>
      </c>
      <c r="D48" s="27">
        <f t="shared" si="41"/>
        <v>0.07272727273</v>
      </c>
      <c r="E48" s="27">
        <f t="shared" si="41"/>
        <v>0.05333333333</v>
      </c>
      <c r="F48" s="27">
        <f t="shared" si="41"/>
        <v>0</v>
      </c>
      <c r="G48" s="28">
        <f t="shared" si="41"/>
        <v>0.05494505495</v>
      </c>
      <c r="H48" s="137">
        <f t="shared" ref="H48:I48" si="42">H44/H41</f>
        <v>0.07575757576</v>
      </c>
      <c r="I48" s="130">
        <f t="shared" si="42"/>
        <v>0.06593406593</v>
      </c>
      <c r="K48" s="57"/>
      <c r="Q48" s="58"/>
    </row>
    <row r="49">
      <c r="A49" s="10" t="s">
        <v>28</v>
      </c>
      <c r="B49" s="20">
        <v>0.0</v>
      </c>
      <c r="C49" s="20">
        <v>0.0</v>
      </c>
      <c r="D49" s="20">
        <v>0.0</v>
      </c>
      <c r="E49" s="21"/>
      <c r="F49" s="21"/>
      <c r="G49" s="22">
        <f>SUM(B49:D49)</f>
        <v>0</v>
      </c>
      <c r="H49" s="31"/>
      <c r="I49" s="131">
        <f>$G49/$G$1*30</f>
        <v>0</v>
      </c>
      <c r="K49" s="57"/>
      <c r="Q49" s="58"/>
    </row>
    <row r="50">
      <c r="A50" s="10" t="s">
        <v>29</v>
      </c>
      <c r="B50" s="21"/>
      <c r="C50" s="21"/>
      <c r="D50" s="21"/>
      <c r="E50" s="21"/>
      <c r="F50" s="21"/>
      <c r="G50" s="22"/>
      <c r="H50" s="31"/>
      <c r="I50" s="138" t="str">
        <f>I39/I49</f>
        <v>#DIV/0!</v>
      </c>
      <c r="K50" s="57"/>
      <c r="Q50" s="58"/>
    </row>
    <row r="51">
      <c r="A51" s="10" t="s">
        <v>30</v>
      </c>
      <c r="B51" s="16">
        <f t="shared" ref="B51:D51" si="43">B50/$B$1</f>
        <v>0</v>
      </c>
      <c r="C51" s="16">
        <f t="shared" si="43"/>
        <v>0</v>
      </c>
      <c r="D51" s="16">
        <f t="shared" si="43"/>
        <v>0</v>
      </c>
      <c r="E51" s="21"/>
      <c r="F51" s="21"/>
      <c r="G51" s="22"/>
      <c r="H51" s="31"/>
      <c r="I51" s="132"/>
      <c r="K51" s="57"/>
      <c r="Q51" s="58"/>
    </row>
    <row r="52">
      <c r="A52" s="10" t="s">
        <v>32</v>
      </c>
      <c r="B52" s="21"/>
      <c r="C52" s="21"/>
      <c r="D52" s="21"/>
      <c r="E52" s="21"/>
      <c r="F52" s="21"/>
      <c r="G52" s="22"/>
      <c r="H52" s="31"/>
      <c r="I52" s="132">
        <f>I49/I41</f>
        <v>0</v>
      </c>
      <c r="K52" s="81"/>
      <c r="L52" s="82"/>
      <c r="M52" s="82"/>
      <c r="N52" s="82"/>
      <c r="O52" s="82"/>
      <c r="P52" s="82"/>
      <c r="Q52" s="83"/>
    </row>
    <row r="55">
      <c r="A55" s="141" t="s">
        <v>56</v>
      </c>
    </row>
    <row r="56">
      <c r="A56" s="7" t="s">
        <v>3</v>
      </c>
      <c r="B56" s="8" t="s">
        <v>107</v>
      </c>
      <c r="C56" s="8" t="s">
        <v>108</v>
      </c>
      <c r="D56" s="8" t="s">
        <v>109</v>
      </c>
      <c r="E56" s="8" t="s">
        <v>110</v>
      </c>
      <c r="F56" s="8" t="str">
        <f>F3</f>
        <v>29/09 al 30/09</v>
      </c>
      <c r="G56" s="8" t="s">
        <v>43</v>
      </c>
      <c r="H56" s="9" t="s">
        <v>17</v>
      </c>
      <c r="I56" s="121" t="s">
        <v>45</v>
      </c>
      <c r="K56" s="140" t="s">
        <v>117</v>
      </c>
      <c r="L56" s="49"/>
      <c r="M56" s="49"/>
      <c r="N56" s="49"/>
      <c r="O56" s="49"/>
      <c r="P56" s="49"/>
      <c r="Q56" s="50"/>
    </row>
    <row r="57">
      <c r="A57" s="10" t="s">
        <v>19</v>
      </c>
      <c r="B57" s="11">
        <v>436790.0</v>
      </c>
      <c r="C57" s="11">
        <v>624407.0</v>
      </c>
      <c r="D57" s="11">
        <v>748281.0</v>
      </c>
      <c r="E57" s="11">
        <v>770599.0</v>
      </c>
      <c r="F57" s="11">
        <v>234949.0</v>
      </c>
      <c r="G57" s="13">
        <f t="shared" ref="G57:G59" si="45">SUM(B57:F57)</f>
        <v>2815026</v>
      </c>
      <c r="H57" s="134">
        <v>3600000.0</v>
      </c>
      <c r="I57" s="124">
        <f>$G57/$G$1*30</f>
        <v>2815026</v>
      </c>
      <c r="J57" s="37">
        <f>(H57-G57)/15</f>
        <v>52331.6</v>
      </c>
      <c r="K57" s="57"/>
      <c r="Q57" s="58"/>
    </row>
    <row r="58">
      <c r="A58" s="10" t="s">
        <v>20</v>
      </c>
      <c r="B58" s="16">
        <f t="shared" ref="B58:F58" si="44">B57/$B$1</f>
        <v>316.2853005</v>
      </c>
      <c r="C58" s="16">
        <f t="shared" si="44"/>
        <v>452.141202</v>
      </c>
      <c r="D58" s="16">
        <f t="shared" si="44"/>
        <v>541.839971</v>
      </c>
      <c r="E58" s="16">
        <f t="shared" si="44"/>
        <v>558.0007241</v>
      </c>
      <c r="F58" s="16">
        <f t="shared" si="44"/>
        <v>170.1296162</v>
      </c>
      <c r="G58" s="17">
        <f t="shared" si="45"/>
        <v>2038.396814</v>
      </c>
      <c r="H58" s="143"/>
      <c r="I58" s="127"/>
      <c r="K58" s="57"/>
      <c r="Q58" s="58"/>
    </row>
    <row r="59">
      <c r="A59" s="10" t="s">
        <v>21</v>
      </c>
      <c r="B59" s="20">
        <v>115.0</v>
      </c>
      <c r="C59" s="20">
        <v>131.0</v>
      </c>
      <c r="D59" s="20">
        <v>128.0</v>
      </c>
      <c r="E59" s="20">
        <v>118.0</v>
      </c>
      <c r="F59" s="20">
        <v>40.0</v>
      </c>
      <c r="G59" s="22">
        <f t="shared" si="45"/>
        <v>532</v>
      </c>
      <c r="H59" s="143">
        <v>900.0</v>
      </c>
      <c r="I59" s="127">
        <f>$G59/$G$1*30</f>
        <v>532</v>
      </c>
      <c r="K59" s="57"/>
      <c r="Q59" s="58"/>
    </row>
    <row r="60">
      <c r="A60" s="10" t="s">
        <v>22</v>
      </c>
      <c r="B60" s="12">
        <f t="shared" ref="B60:F60" si="46">B57/B59</f>
        <v>3798.173913</v>
      </c>
      <c r="C60" s="12">
        <f t="shared" si="46"/>
        <v>4766.465649</v>
      </c>
      <c r="D60" s="12">
        <f t="shared" si="46"/>
        <v>5845.945313</v>
      </c>
      <c r="E60" s="12">
        <f t="shared" si="46"/>
        <v>6530.5</v>
      </c>
      <c r="F60" s="12">
        <f t="shared" si="46"/>
        <v>5873.725</v>
      </c>
      <c r="G60" s="13">
        <f t="shared" ref="G60:G61" si="49">G57/G$59</f>
        <v>5291.402256</v>
      </c>
      <c r="H60" s="136">
        <f t="shared" ref="H60:I60" si="47">H57/H59</f>
        <v>4000</v>
      </c>
      <c r="I60" s="124">
        <f t="shared" si="47"/>
        <v>5291.402256</v>
      </c>
      <c r="K60" s="57"/>
      <c r="Q60" s="58"/>
    </row>
    <row r="61">
      <c r="A61" s="10" t="s">
        <v>23</v>
      </c>
      <c r="B61" s="16">
        <f t="shared" ref="B61:F61" si="48">B60/$B$1</f>
        <v>2.750306961</v>
      </c>
      <c r="C61" s="16">
        <f t="shared" si="48"/>
        <v>3.451459557</v>
      </c>
      <c r="D61" s="16">
        <f t="shared" si="48"/>
        <v>4.233124774</v>
      </c>
      <c r="E61" s="16">
        <f t="shared" si="48"/>
        <v>4.728819696</v>
      </c>
      <c r="F61" s="16">
        <f t="shared" si="48"/>
        <v>4.253240406</v>
      </c>
      <c r="G61" s="17">
        <f t="shared" si="49"/>
        <v>3.831572958</v>
      </c>
      <c r="H61" s="143"/>
      <c r="I61" s="127"/>
      <c r="K61" s="57"/>
      <c r="Q61" s="58"/>
    </row>
    <row r="62">
      <c r="A62" s="10" t="s">
        <v>47</v>
      </c>
      <c r="B62" s="20">
        <v>14.0</v>
      </c>
      <c r="C62" s="20">
        <v>16.0</v>
      </c>
      <c r="D62" s="20">
        <v>10.0</v>
      </c>
      <c r="E62" s="20">
        <v>9.0</v>
      </c>
      <c r="F62" s="20">
        <v>2.0</v>
      </c>
      <c r="G62" s="22">
        <f t="shared" ref="G62:G63" si="50">SUM(B62:F62)</f>
        <v>51</v>
      </c>
      <c r="H62" s="143">
        <v>72.0</v>
      </c>
      <c r="I62" s="127">
        <f>$G62/$G$1*30</f>
        <v>51</v>
      </c>
      <c r="K62" s="57"/>
      <c r="Q62" s="58"/>
    </row>
    <row r="63">
      <c r="A63" s="10" t="s">
        <v>48</v>
      </c>
      <c r="B63" s="20">
        <v>12.0</v>
      </c>
      <c r="C63" s="20">
        <v>14.0</v>
      </c>
      <c r="D63" s="20">
        <v>10.0</v>
      </c>
      <c r="E63" s="20">
        <v>7.0</v>
      </c>
      <c r="F63" s="20">
        <v>0.0</v>
      </c>
      <c r="G63" s="22">
        <f t="shared" si="50"/>
        <v>43</v>
      </c>
      <c r="H63" s="143"/>
      <c r="I63" s="127"/>
      <c r="K63" s="57"/>
      <c r="Q63" s="58"/>
    </row>
    <row r="64">
      <c r="A64" s="10" t="s">
        <v>25</v>
      </c>
      <c r="B64" s="12">
        <f t="shared" ref="B64:F64" si="51">B57/B63</f>
        <v>36399.16667</v>
      </c>
      <c r="C64" s="12">
        <f t="shared" si="51"/>
        <v>44600.5</v>
      </c>
      <c r="D64" s="12">
        <f t="shared" si="51"/>
        <v>74828.1</v>
      </c>
      <c r="E64" s="12">
        <f t="shared" si="51"/>
        <v>110085.5714</v>
      </c>
      <c r="F64" s="21" t="str">
        <f t="shared" si="51"/>
        <v>#DIV/0!</v>
      </c>
      <c r="G64" s="13">
        <f t="shared" ref="G64:G65" si="54">G57/G$63</f>
        <v>65465.72093</v>
      </c>
      <c r="H64" s="136">
        <f t="shared" ref="H64:I64" si="52">H57/H62</f>
        <v>50000</v>
      </c>
      <c r="I64" s="128">
        <f t="shared" si="52"/>
        <v>55196.58824</v>
      </c>
      <c r="K64" s="57"/>
      <c r="Q64" s="58"/>
    </row>
    <row r="65">
      <c r="A65" s="10" t="s">
        <v>26</v>
      </c>
      <c r="B65" s="16">
        <f t="shared" ref="B65:F65" si="53">B64/$B$1</f>
        <v>26.35710838</v>
      </c>
      <c r="C65" s="16">
        <f t="shared" si="53"/>
        <v>32.29580014</v>
      </c>
      <c r="D65" s="16">
        <f t="shared" si="53"/>
        <v>54.1839971</v>
      </c>
      <c r="E65" s="16">
        <f t="shared" si="53"/>
        <v>79.71438916</v>
      </c>
      <c r="F65" s="16" t="str">
        <f t="shared" si="53"/>
        <v>#DIV/0!</v>
      </c>
      <c r="G65" s="17">
        <f t="shared" si="54"/>
        <v>47.40457707</v>
      </c>
      <c r="H65" s="137"/>
      <c r="I65" s="130"/>
      <c r="K65" s="57"/>
      <c r="Q65" s="58"/>
    </row>
    <row r="66">
      <c r="A66" s="10" t="s">
        <v>27</v>
      </c>
      <c r="B66" s="27">
        <f t="shared" ref="B66:G66" si="55">B63/B59</f>
        <v>0.1043478261</v>
      </c>
      <c r="C66" s="27">
        <f t="shared" si="55"/>
        <v>0.106870229</v>
      </c>
      <c r="D66" s="27">
        <f t="shared" si="55"/>
        <v>0.078125</v>
      </c>
      <c r="E66" s="27">
        <f t="shared" si="55"/>
        <v>0.0593220339</v>
      </c>
      <c r="F66" s="27">
        <f t="shared" si="55"/>
        <v>0</v>
      </c>
      <c r="G66" s="28">
        <f t="shared" si="55"/>
        <v>0.08082706767</v>
      </c>
      <c r="H66" s="137">
        <f t="shared" ref="H66:I66" si="56">H62/H59</f>
        <v>0.08</v>
      </c>
      <c r="I66" s="130">
        <f t="shared" si="56"/>
        <v>0.09586466165</v>
      </c>
      <c r="K66" s="57"/>
      <c r="Q66" s="58"/>
    </row>
    <row r="67">
      <c r="A67" s="10" t="s">
        <v>28</v>
      </c>
      <c r="B67" s="20">
        <v>0.0</v>
      </c>
      <c r="C67" s="20">
        <v>1.0</v>
      </c>
      <c r="D67" s="20">
        <v>1.0</v>
      </c>
      <c r="E67" s="20">
        <v>1.0</v>
      </c>
      <c r="F67" s="21"/>
      <c r="G67" s="22">
        <f>SUM(B67:F67)</f>
        <v>3</v>
      </c>
      <c r="H67" s="31"/>
      <c r="I67" s="131">
        <f>$G67/$G$1*30</f>
        <v>3</v>
      </c>
      <c r="K67" s="57"/>
      <c r="Q67" s="58"/>
    </row>
    <row r="68">
      <c r="A68" s="10" t="s">
        <v>29</v>
      </c>
      <c r="B68" s="21"/>
      <c r="C68" s="21"/>
      <c r="D68" s="21"/>
      <c r="E68" s="21"/>
      <c r="F68" s="21"/>
      <c r="G68" s="13">
        <f>G57/G67</f>
        <v>938342</v>
      </c>
      <c r="H68" s="31"/>
      <c r="I68" s="128">
        <f>I57/I67</f>
        <v>938342</v>
      </c>
      <c r="K68" s="57"/>
      <c r="Q68" s="58"/>
    </row>
    <row r="69">
      <c r="A69" s="10" t="s">
        <v>30</v>
      </c>
      <c r="B69" s="16">
        <f t="shared" ref="B69:D69" si="57">B68/$B$1</f>
        <v>0</v>
      </c>
      <c r="C69" s="16">
        <f t="shared" si="57"/>
        <v>0</v>
      </c>
      <c r="D69" s="16">
        <f t="shared" si="57"/>
        <v>0</v>
      </c>
      <c r="E69" s="21"/>
      <c r="F69" s="21"/>
      <c r="G69" s="22"/>
      <c r="H69" s="31"/>
      <c r="I69" s="132"/>
      <c r="K69" s="57"/>
      <c r="Q69" s="58"/>
    </row>
    <row r="70">
      <c r="A70" s="10" t="s">
        <v>32</v>
      </c>
      <c r="B70" s="21"/>
      <c r="C70" s="21"/>
      <c r="D70" s="21"/>
      <c r="E70" s="21"/>
      <c r="F70" s="21"/>
      <c r="G70" s="22"/>
      <c r="H70" s="31"/>
      <c r="I70" s="132">
        <f>I67/I59</f>
        <v>0.005639097744</v>
      </c>
      <c r="K70" s="81"/>
      <c r="L70" s="82"/>
      <c r="M70" s="82"/>
      <c r="N70" s="82"/>
      <c r="O70" s="82"/>
      <c r="P70" s="82"/>
      <c r="Q70" s="83"/>
    </row>
    <row r="73">
      <c r="A73" s="142" t="s">
        <v>57</v>
      </c>
    </row>
    <row r="74">
      <c r="A74" s="7" t="s">
        <v>3</v>
      </c>
      <c r="B74" s="8" t="s">
        <v>107</v>
      </c>
      <c r="C74" s="8" t="s">
        <v>108</v>
      </c>
      <c r="D74" s="8" t="s">
        <v>109</v>
      </c>
      <c r="E74" s="8" t="s">
        <v>110</v>
      </c>
      <c r="F74" s="8" t="str">
        <f>F3</f>
        <v>29/09 al 30/09</v>
      </c>
      <c r="G74" s="8" t="s">
        <v>43</v>
      </c>
      <c r="H74" s="9" t="s">
        <v>17</v>
      </c>
      <c r="I74" s="121" t="s">
        <v>45</v>
      </c>
    </row>
    <row r="75">
      <c r="A75" s="10" t="s">
        <v>19</v>
      </c>
      <c r="B75" s="11">
        <v>50185.0</v>
      </c>
      <c r="C75" s="11">
        <v>103255.0</v>
      </c>
      <c r="D75" s="11">
        <v>167980.0</v>
      </c>
      <c r="E75" s="11">
        <v>173802.0</v>
      </c>
      <c r="F75" s="11">
        <v>53166.0</v>
      </c>
      <c r="G75" s="13">
        <f t="shared" ref="G75:G77" si="59">SUM(B75:F75)</f>
        <v>548388</v>
      </c>
      <c r="H75" s="134">
        <v>600000.0</v>
      </c>
      <c r="I75" s="124">
        <f>$G75/$G$1*30</f>
        <v>548388</v>
      </c>
      <c r="J75" s="37">
        <f>(H75-G75)/15</f>
        <v>3440.8</v>
      </c>
    </row>
    <row r="76">
      <c r="A76" s="10" t="s">
        <v>20</v>
      </c>
      <c r="B76" s="16">
        <f t="shared" ref="B76:F76" si="58">B75/$B$1</f>
        <v>36.33960898</v>
      </c>
      <c r="C76" s="16">
        <f t="shared" si="58"/>
        <v>74.76828385</v>
      </c>
      <c r="D76" s="16">
        <f t="shared" si="58"/>
        <v>121.6364953</v>
      </c>
      <c r="E76" s="16">
        <f t="shared" si="58"/>
        <v>125.852281</v>
      </c>
      <c r="F76" s="16">
        <f t="shared" si="58"/>
        <v>38.49818972</v>
      </c>
      <c r="G76" s="17">
        <f t="shared" si="59"/>
        <v>397.0948588</v>
      </c>
      <c r="H76" s="143"/>
      <c r="I76" s="127"/>
    </row>
    <row r="77">
      <c r="A77" s="10" t="s">
        <v>21</v>
      </c>
      <c r="B77" s="20">
        <v>18.0</v>
      </c>
      <c r="C77" s="20">
        <v>49.0</v>
      </c>
      <c r="D77" s="20">
        <v>35.0</v>
      </c>
      <c r="E77" s="20">
        <v>43.0</v>
      </c>
      <c r="F77" s="20">
        <v>12.0</v>
      </c>
      <c r="G77" s="22">
        <f t="shared" si="59"/>
        <v>157</v>
      </c>
      <c r="H77" s="143">
        <v>240.0</v>
      </c>
      <c r="I77" s="127">
        <f>$G77/$G$1*30</f>
        <v>157</v>
      </c>
    </row>
    <row r="78">
      <c r="A78" s="10" t="s">
        <v>22</v>
      </c>
      <c r="B78" s="12">
        <f t="shared" ref="B78:F78" si="60">B75/B77</f>
        <v>2788.055556</v>
      </c>
      <c r="C78" s="12">
        <f t="shared" si="60"/>
        <v>2107.244898</v>
      </c>
      <c r="D78" s="12">
        <f t="shared" si="60"/>
        <v>4799.428571</v>
      </c>
      <c r="E78" s="12">
        <f t="shared" si="60"/>
        <v>4041.906977</v>
      </c>
      <c r="F78" s="12">
        <f t="shared" si="60"/>
        <v>4430.5</v>
      </c>
      <c r="G78" s="13">
        <f t="shared" ref="G78:G79" si="63">G75/G$77</f>
        <v>3492.917197</v>
      </c>
      <c r="H78" s="136">
        <f t="shared" ref="H78:I78" si="61">H75/H77</f>
        <v>2500</v>
      </c>
      <c r="I78" s="124">
        <f t="shared" si="61"/>
        <v>3492.917197</v>
      </c>
    </row>
    <row r="79">
      <c r="A79" s="10" t="s">
        <v>23</v>
      </c>
      <c r="B79" s="16">
        <f t="shared" ref="B79:F79" si="62">B78/$B$1</f>
        <v>2.018867166</v>
      </c>
      <c r="C79" s="16">
        <f t="shared" si="62"/>
        <v>1.525883344</v>
      </c>
      <c r="D79" s="16">
        <f t="shared" si="62"/>
        <v>3.475328437</v>
      </c>
      <c r="E79" s="16">
        <f t="shared" si="62"/>
        <v>2.926797232</v>
      </c>
      <c r="F79" s="16">
        <f t="shared" si="62"/>
        <v>3.208182476</v>
      </c>
      <c r="G79" s="17">
        <f t="shared" si="63"/>
        <v>2.529266617</v>
      </c>
      <c r="H79" s="143"/>
      <c r="I79" s="127"/>
    </row>
    <row r="80">
      <c r="A80" s="10" t="s">
        <v>47</v>
      </c>
      <c r="B80" s="20">
        <v>1.0</v>
      </c>
      <c r="C80" s="20">
        <v>7.0</v>
      </c>
      <c r="D80" s="20">
        <v>4.0</v>
      </c>
      <c r="E80" s="20">
        <v>3.0</v>
      </c>
      <c r="F80" s="20">
        <v>1.0</v>
      </c>
      <c r="G80" s="22">
        <f t="shared" ref="G80:G81" si="64">SUM(B80:F80)</f>
        <v>16</v>
      </c>
      <c r="H80" s="143">
        <v>14.0</v>
      </c>
      <c r="I80" s="127">
        <f>$G80/$G$1*30</f>
        <v>16</v>
      </c>
    </row>
    <row r="81">
      <c r="A81" s="10" t="s">
        <v>48</v>
      </c>
      <c r="B81" s="20">
        <v>1.0</v>
      </c>
      <c r="C81" s="20">
        <v>6.0</v>
      </c>
      <c r="D81" s="20">
        <v>4.0</v>
      </c>
      <c r="E81" s="20">
        <v>2.0</v>
      </c>
      <c r="F81" s="20">
        <v>0.0</v>
      </c>
      <c r="G81" s="22">
        <f t="shared" si="64"/>
        <v>13</v>
      </c>
      <c r="H81" s="143"/>
      <c r="I81" s="127"/>
    </row>
    <row r="82">
      <c r="A82" s="10" t="s">
        <v>25</v>
      </c>
      <c r="B82" s="12">
        <f t="shared" ref="B82:F82" si="65">B75/B81</f>
        <v>50185</v>
      </c>
      <c r="C82" s="12">
        <f t="shared" si="65"/>
        <v>17209.16667</v>
      </c>
      <c r="D82" s="12">
        <f t="shared" si="65"/>
        <v>41995</v>
      </c>
      <c r="E82" s="12">
        <f t="shared" si="65"/>
        <v>86901</v>
      </c>
      <c r="F82" s="21" t="str">
        <f t="shared" si="65"/>
        <v>#DIV/0!</v>
      </c>
      <c r="G82" s="13">
        <f t="shared" ref="G82:G83" si="68">G75/G$81</f>
        <v>42183.69231</v>
      </c>
      <c r="H82" s="136">
        <f t="shared" ref="H82:I82" si="66">H75/H80</f>
        <v>42857.14286</v>
      </c>
      <c r="I82" s="128">
        <f t="shared" si="66"/>
        <v>34274.25</v>
      </c>
    </row>
    <row r="83">
      <c r="A83" s="10" t="s">
        <v>26</v>
      </c>
      <c r="B83" s="16">
        <f t="shared" ref="B83:F83" si="67">B82/$B$1</f>
        <v>36.33960898</v>
      </c>
      <c r="C83" s="16">
        <f t="shared" si="67"/>
        <v>12.46138064</v>
      </c>
      <c r="D83" s="16">
        <f t="shared" si="67"/>
        <v>30.40912382</v>
      </c>
      <c r="E83" s="16">
        <f t="shared" si="67"/>
        <v>62.92614048</v>
      </c>
      <c r="F83" s="16" t="str">
        <f t="shared" si="67"/>
        <v>#DIV/0!</v>
      </c>
      <c r="G83" s="17">
        <f t="shared" si="68"/>
        <v>30.54575837</v>
      </c>
      <c r="H83" s="137"/>
      <c r="I83" s="130"/>
    </row>
    <row r="84">
      <c r="A84" s="10" t="s">
        <v>27</v>
      </c>
      <c r="B84" s="27">
        <f t="shared" ref="B84:G84" si="69">B81/B77</f>
        <v>0.05555555556</v>
      </c>
      <c r="C84" s="27">
        <f t="shared" si="69"/>
        <v>0.1224489796</v>
      </c>
      <c r="D84" s="27">
        <f t="shared" si="69"/>
        <v>0.1142857143</v>
      </c>
      <c r="E84" s="27">
        <f t="shared" si="69"/>
        <v>0.04651162791</v>
      </c>
      <c r="F84" s="27">
        <f t="shared" si="69"/>
        <v>0</v>
      </c>
      <c r="G84" s="28">
        <f t="shared" si="69"/>
        <v>0.08280254777</v>
      </c>
      <c r="H84" s="137">
        <f t="shared" ref="H84:I84" si="70">H80/H77</f>
        <v>0.05833333333</v>
      </c>
      <c r="I84" s="130">
        <f t="shared" si="70"/>
        <v>0.101910828</v>
      </c>
    </row>
    <row r="85">
      <c r="A85" s="10" t="s">
        <v>28</v>
      </c>
      <c r="B85" s="20">
        <v>0.0</v>
      </c>
      <c r="C85" s="20">
        <v>0.0</v>
      </c>
      <c r="D85" s="20">
        <v>0.0</v>
      </c>
      <c r="E85" s="21"/>
      <c r="F85" s="21"/>
      <c r="G85" s="22">
        <f>SUM(B85:D85)</f>
        <v>0</v>
      </c>
      <c r="H85" s="31"/>
      <c r="I85" s="131">
        <f>$G85/$G$1*30</f>
        <v>0</v>
      </c>
    </row>
    <row r="86">
      <c r="A86" s="10" t="s">
        <v>29</v>
      </c>
      <c r="B86" s="21"/>
      <c r="C86" s="21"/>
      <c r="D86" s="21"/>
      <c r="E86" s="21"/>
      <c r="F86" s="21"/>
      <c r="G86" s="22"/>
      <c r="H86" s="31"/>
      <c r="I86" s="138" t="str">
        <f>I75/I85</f>
        <v>#DIV/0!</v>
      </c>
    </row>
    <row r="87">
      <c r="A87" s="10" t="s">
        <v>30</v>
      </c>
      <c r="B87" s="16">
        <f t="shared" ref="B87:D87" si="71">B86/$B$1</f>
        <v>0</v>
      </c>
      <c r="C87" s="16">
        <f t="shared" si="71"/>
        <v>0</v>
      </c>
      <c r="D87" s="16">
        <f t="shared" si="71"/>
        <v>0</v>
      </c>
      <c r="E87" s="21"/>
      <c r="F87" s="21"/>
      <c r="G87" s="22"/>
      <c r="H87" s="31"/>
      <c r="I87" s="132"/>
    </row>
    <row r="88">
      <c r="A88" s="10" t="s">
        <v>32</v>
      </c>
      <c r="B88" s="21"/>
      <c r="C88" s="21"/>
      <c r="D88" s="21"/>
      <c r="E88" s="21"/>
      <c r="F88" s="21"/>
      <c r="G88" s="22"/>
      <c r="H88" s="31"/>
      <c r="I88" s="132">
        <f>I85/I77</f>
        <v>0</v>
      </c>
    </row>
    <row r="90">
      <c r="A90" s="154" t="s">
        <v>59</v>
      </c>
    </row>
    <row r="91">
      <c r="A91" s="7" t="s">
        <v>3</v>
      </c>
      <c r="B91" s="8" t="s">
        <v>107</v>
      </c>
      <c r="C91" s="8" t="s">
        <v>108</v>
      </c>
      <c r="D91" s="8" t="s">
        <v>109</v>
      </c>
      <c r="E91" s="8" t="s">
        <v>110</v>
      </c>
      <c r="F91" s="8" t="str">
        <f>F3</f>
        <v>29/09 al 30/09</v>
      </c>
      <c r="G91" s="8" t="s">
        <v>43</v>
      </c>
      <c r="H91" s="9" t="s">
        <v>17</v>
      </c>
      <c r="I91" s="121" t="s">
        <v>45</v>
      </c>
    </row>
    <row r="92">
      <c r="A92" s="10" t="s">
        <v>19</v>
      </c>
      <c r="B92" s="11">
        <v>41927.0</v>
      </c>
      <c r="C92" s="11"/>
      <c r="D92" s="11"/>
      <c r="E92" s="21"/>
      <c r="F92" s="21"/>
      <c r="G92" s="13">
        <f t="shared" ref="G92:G93" si="72">SUM(B92:F92)</f>
        <v>41927</v>
      </c>
      <c r="H92" s="134">
        <v>0.0</v>
      </c>
      <c r="I92" s="124"/>
    </row>
    <row r="93">
      <c r="A93" s="10" t="s">
        <v>21</v>
      </c>
      <c r="B93" s="20">
        <v>12.0</v>
      </c>
      <c r="C93" s="20"/>
      <c r="D93" s="20"/>
      <c r="E93" s="21"/>
      <c r="F93" s="21"/>
      <c r="G93" s="22">
        <f t="shared" si="72"/>
        <v>12</v>
      </c>
      <c r="H93" s="143">
        <v>0.0</v>
      </c>
      <c r="I93" s="127"/>
    </row>
    <row r="94">
      <c r="A94" s="10" t="s">
        <v>22</v>
      </c>
      <c r="B94" s="12">
        <f t="shared" ref="B94:D94" si="73">B92/B93</f>
        <v>3493.916667</v>
      </c>
      <c r="C94" s="21" t="str">
        <f t="shared" si="73"/>
        <v>#DIV/0!</v>
      </c>
      <c r="D94" s="21" t="str">
        <f t="shared" si="73"/>
        <v>#DIV/0!</v>
      </c>
      <c r="E94" s="21"/>
      <c r="F94" s="21"/>
      <c r="G94" s="13">
        <f t="shared" ref="G94:H94" si="74">G92/G93</f>
        <v>3493.916667</v>
      </c>
      <c r="H94" s="31" t="str">
        <f t="shared" si="74"/>
        <v>#DIV/0!</v>
      </c>
      <c r="I94" s="124"/>
    </row>
    <row r="95">
      <c r="A95" s="10" t="s">
        <v>24</v>
      </c>
      <c r="B95" s="20">
        <v>1.0</v>
      </c>
      <c r="C95" s="20"/>
      <c r="D95" s="20"/>
      <c r="E95" s="21"/>
      <c r="F95" s="21"/>
      <c r="G95" s="22">
        <f>SUM(B95:D95)</f>
        <v>1</v>
      </c>
      <c r="H95" s="143">
        <v>0.0</v>
      </c>
      <c r="I95" s="155"/>
    </row>
    <row r="96">
      <c r="A96" s="10" t="s">
        <v>25</v>
      </c>
      <c r="B96" s="12">
        <f t="shared" ref="B96:D96" si="75">B92/B95</f>
        <v>41927</v>
      </c>
      <c r="C96" s="21" t="str">
        <f t="shared" si="75"/>
        <v>#DIV/0!</v>
      </c>
      <c r="D96" s="21" t="str">
        <f t="shared" si="75"/>
        <v>#DIV/0!</v>
      </c>
      <c r="E96" s="21"/>
      <c r="F96" s="21"/>
      <c r="G96" s="13">
        <f t="shared" ref="G96:H96" si="76">G92/G95</f>
        <v>41927</v>
      </c>
      <c r="H96" s="31" t="str">
        <f t="shared" si="76"/>
        <v>#DIV/0!</v>
      </c>
      <c r="I96" s="128"/>
    </row>
    <row r="97">
      <c r="A97" s="10" t="s">
        <v>27</v>
      </c>
      <c r="B97" s="27">
        <f t="shared" ref="B97:D97" si="77">B95/B93</f>
        <v>0.08333333333</v>
      </c>
      <c r="C97" s="27" t="str">
        <f t="shared" si="77"/>
        <v>#DIV/0!</v>
      </c>
      <c r="D97" s="27" t="str">
        <f t="shared" si="77"/>
        <v>#DIV/0!</v>
      </c>
      <c r="E97" s="21"/>
      <c r="F97" s="21"/>
      <c r="G97" s="28">
        <f t="shared" ref="G97:H97" si="78">G95/G93</f>
        <v>0.08333333333</v>
      </c>
      <c r="H97" s="137" t="str">
        <f t="shared" si="78"/>
        <v>#DIV/0!</v>
      </c>
      <c r="I97" s="130"/>
    </row>
    <row r="98">
      <c r="A98" s="10" t="s">
        <v>28</v>
      </c>
      <c r="B98" s="20">
        <v>0.0</v>
      </c>
      <c r="C98" s="20">
        <v>0.0</v>
      </c>
      <c r="D98" s="20">
        <v>0.0</v>
      </c>
      <c r="E98" s="21"/>
      <c r="F98" s="21"/>
      <c r="G98" s="22">
        <f>SUM(B98:D98)</f>
        <v>0</v>
      </c>
      <c r="H98" s="31"/>
      <c r="I98" s="131"/>
    </row>
    <row r="99">
      <c r="A99" s="10" t="s">
        <v>29</v>
      </c>
      <c r="B99" s="21"/>
      <c r="C99" s="21"/>
      <c r="D99" s="21"/>
      <c r="E99" s="21"/>
      <c r="F99" s="21"/>
      <c r="G99" s="22"/>
      <c r="H99" s="31"/>
      <c r="I99" s="138"/>
    </row>
    <row r="100">
      <c r="A100" s="10" t="s">
        <v>32</v>
      </c>
      <c r="B100" s="21"/>
      <c r="C100" s="21"/>
      <c r="D100" s="21"/>
      <c r="E100" s="21"/>
      <c r="F100" s="21"/>
      <c r="G100" s="22"/>
      <c r="H100" s="31"/>
      <c r="I100" s="132"/>
    </row>
    <row r="103">
      <c r="A103" s="142" t="s">
        <v>58</v>
      </c>
    </row>
    <row r="104">
      <c r="A104" s="7" t="s">
        <v>3</v>
      </c>
      <c r="B104" s="8" t="s">
        <v>107</v>
      </c>
      <c r="C104" s="8" t="s">
        <v>108</v>
      </c>
      <c r="D104" s="8" t="s">
        <v>109</v>
      </c>
      <c r="E104" s="8" t="s">
        <v>110</v>
      </c>
      <c r="F104" s="8" t="str">
        <f>F3</f>
        <v>29/09 al 30/09</v>
      </c>
      <c r="G104" s="8" t="s">
        <v>43</v>
      </c>
      <c r="H104" s="9" t="s">
        <v>17</v>
      </c>
    </row>
    <row r="105">
      <c r="A105" s="10" t="s">
        <v>19</v>
      </c>
      <c r="B105" s="11">
        <v>8937.0</v>
      </c>
      <c r="C105" s="11"/>
      <c r="D105" s="11"/>
      <c r="E105" s="21"/>
      <c r="F105" s="21"/>
      <c r="G105" s="13">
        <f t="shared" ref="G105:G106" si="79">SUM(B105:F105)</f>
        <v>8937</v>
      </c>
      <c r="H105" s="134"/>
    </row>
    <row r="106">
      <c r="A106" s="10" t="s">
        <v>21</v>
      </c>
      <c r="B106" s="20"/>
      <c r="C106" s="20"/>
      <c r="D106" s="20"/>
      <c r="E106" s="21"/>
      <c r="F106" s="21"/>
      <c r="G106" s="22">
        <f t="shared" si="79"/>
        <v>0</v>
      </c>
      <c r="H106" s="143"/>
    </row>
    <row r="107">
      <c r="A107" s="10" t="s">
        <v>22</v>
      </c>
      <c r="B107" s="21" t="str">
        <f t="shared" ref="B107:D107" si="80">B105/B106</f>
        <v>#DIV/0!</v>
      </c>
      <c r="C107" s="21" t="str">
        <f t="shared" si="80"/>
        <v>#DIV/0!</v>
      </c>
      <c r="D107" s="21" t="str">
        <f t="shared" si="80"/>
        <v>#DIV/0!</v>
      </c>
      <c r="E107" s="21"/>
      <c r="F107" s="21"/>
      <c r="G107" s="22" t="str">
        <f t="shared" ref="G107:H107" si="81">G105/G106</f>
        <v>#DIV/0!</v>
      </c>
      <c r="H107" s="31" t="str">
        <f t="shared" si="81"/>
        <v>#DIV/0!</v>
      </c>
    </row>
    <row r="108">
      <c r="A108" s="10" t="s">
        <v>24</v>
      </c>
      <c r="B108" s="20">
        <v>0.0</v>
      </c>
      <c r="C108" s="20"/>
      <c r="D108" s="20"/>
      <c r="E108" s="21"/>
      <c r="F108" s="21"/>
      <c r="G108" s="22">
        <f>SUM(B108:D108)</f>
        <v>0</v>
      </c>
      <c r="H108" s="143"/>
    </row>
    <row r="109">
      <c r="A109" s="10" t="s">
        <v>25</v>
      </c>
      <c r="B109" s="21" t="str">
        <f t="shared" ref="B109:D109" si="82">B105/B108</f>
        <v>#DIV/0!</v>
      </c>
      <c r="C109" s="21" t="str">
        <f t="shared" si="82"/>
        <v>#DIV/0!</v>
      </c>
      <c r="D109" s="21" t="str">
        <f t="shared" si="82"/>
        <v>#DIV/0!</v>
      </c>
      <c r="E109" s="21"/>
      <c r="F109" s="21"/>
      <c r="G109" s="22" t="str">
        <f t="shared" ref="G109:H109" si="83">G105/G108</f>
        <v>#DIV/0!</v>
      </c>
      <c r="H109" s="31" t="str">
        <f t="shared" si="83"/>
        <v>#DIV/0!</v>
      </c>
    </row>
    <row r="110">
      <c r="A110" s="10" t="s">
        <v>27</v>
      </c>
      <c r="B110" s="27" t="str">
        <f t="shared" ref="B110:D110" si="84">B108/B106</f>
        <v>#DIV/0!</v>
      </c>
      <c r="C110" s="27" t="str">
        <f t="shared" si="84"/>
        <v>#DIV/0!</v>
      </c>
      <c r="D110" s="27" t="str">
        <f t="shared" si="84"/>
        <v>#DIV/0!</v>
      </c>
      <c r="E110" s="21"/>
      <c r="F110" s="21"/>
      <c r="G110" s="28" t="str">
        <f t="shared" ref="G110:H110" si="85">G108/G106</f>
        <v>#DIV/0!</v>
      </c>
      <c r="H110" s="137" t="str">
        <f t="shared" si="85"/>
        <v>#DIV/0!</v>
      </c>
    </row>
    <row r="111">
      <c r="A111" s="10" t="s">
        <v>28</v>
      </c>
      <c r="B111" s="20">
        <v>0.0</v>
      </c>
      <c r="C111" s="20">
        <v>0.0</v>
      </c>
      <c r="D111" s="21"/>
      <c r="E111" s="21"/>
      <c r="F111" s="21"/>
      <c r="G111" s="22">
        <f>SUM(B111:D111)</f>
        <v>0</v>
      </c>
      <c r="H111" s="31"/>
    </row>
    <row r="112">
      <c r="A112" s="10" t="s">
        <v>29</v>
      </c>
      <c r="B112" s="21"/>
      <c r="C112" s="21"/>
      <c r="D112" s="21"/>
      <c r="E112" s="21"/>
      <c r="F112" s="21"/>
      <c r="G112" s="22"/>
      <c r="H112" s="31"/>
    </row>
    <row r="113">
      <c r="A113" s="10" t="s">
        <v>32</v>
      </c>
      <c r="B113" s="21"/>
      <c r="C113" s="21"/>
      <c r="D113" s="21"/>
      <c r="E113" s="21"/>
      <c r="F113" s="21"/>
      <c r="G113" s="22"/>
      <c r="H113" s="31"/>
    </row>
    <row r="116">
      <c r="A116" s="142" t="s">
        <v>93</v>
      </c>
    </row>
    <row r="117">
      <c r="A117" s="7" t="s">
        <v>3</v>
      </c>
      <c r="B117" s="8" t="s">
        <v>107</v>
      </c>
      <c r="C117" s="8" t="s">
        <v>108</v>
      </c>
      <c r="D117" s="8" t="s">
        <v>109</v>
      </c>
      <c r="E117" s="8" t="s">
        <v>110</v>
      </c>
      <c r="F117" s="8" t="str">
        <f>F3</f>
        <v>29/09 al 30/09</v>
      </c>
      <c r="G117" s="8" t="s">
        <v>43</v>
      </c>
      <c r="H117" s="9" t="s">
        <v>17</v>
      </c>
      <c r="I117" s="121" t="s">
        <v>45</v>
      </c>
    </row>
    <row r="118">
      <c r="A118" s="10" t="s">
        <v>19</v>
      </c>
      <c r="B118" s="11">
        <v>51011.0</v>
      </c>
      <c r="C118" s="11">
        <v>104656.0</v>
      </c>
      <c r="D118" s="11">
        <v>73508.0</v>
      </c>
      <c r="E118" s="11">
        <v>91628.0</v>
      </c>
      <c r="F118" s="11">
        <v>34362.0</v>
      </c>
      <c r="G118" s="13">
        <f t="shared" ref="G118:G120" si="87">SUM(B118:F118)</f>
        <v>355165</v>
      </c>
      <c r="H118" s="134">
        <v>300000.0</v>
      </c>
      <c r="I118" s="124">
        <f>$G118/$G$1*30</f>
        <v>355165</v>
      </c>
      <c r="J118" s="37">
        <f>(H118-G118)/14</f>
        <v>-3940.357143</v>
      </c>
    </row>
    <row r="119">
      <c r="A119" s="10" t="s">
        <v>20</v>
      </c>
      <c r="B119" s="16">
        <f t="shared" ref="B119:F119" si="86">B118/$B$1</f>
        <v>36.93772629</v>
      </c>
      <c r="C119" s="16">
        <f t="shared" si="86"/>
        <v>75.78276611</v>
      </c>
      <c r="D119" s="16">
        <f t="shared" si="86"/>
        <v>53.22809558</v>
      </c>
      <c r="E119" s="16">
        <f t="shared" si="86"/>
        <v>66.34902245</v>
      </c>
      <c r="F119" s="16">
        <f t="shared" si="86"/>
        <v>24.88196959</v>
      </c>
      <c r="G119" s="17">
        <f t="shared" si="87"/>
        <v>257.17958</v>
      </c>
      <c r="H119" s="143"/>
      <c r="I119" s="127"/>
    </row>
    <row r="120">
      <c r="A120" s="10" t="s">
        <v>21</v>
      </c>
      <c r="B120" s="20">
        <v>18.0</v>
      </c>
      <c r="C120" s="20">
        <v>39.0</v>
      </c>
      <c r="D120" s="20">
        <v>43.0</v>
      </c>
      <c r="E120" s="20">
        <v>61.0</v>
      </c>
      <c r="F120" s="20">
        <v>19.0</v>
      </c>
      <c r="G120" s="22">
        <f t="shared" si="87"/>
        <v>180</v>
      </c>
      <c r="H120" s="143">
        <v>55.0</v>
      </c>
      <c r="I120" s="127">
        <f>$G120/$G$1*30</f>
        <v>180</v>
      </c>
    </row>
    <row r="121">
      <c r="A121" s="10" t="s">
        <v>22</v>
      </c>
      <c r="B121" s="12">
        <f t="shared" ref="B121:F121" si="88">B118/B120</f>
        <v>2833.944444</v>
      </c>
      <c r="C121" s="12">
        <f t="shared" si="88"/>
        <v>2683.487179</v>
      </c>
      <c r="D121" s="12">
        <f t="shared" si="88"/>
        <v>1709.488372</v>
      </c>
      <c r="E121" s="12">
        <f t="shared" si="88"/>
        <v>1502.098361</v>
      </c>
      <c r="F121" s="12">
        <f t="shared" si="88"/>
        <v>1808.526316</v>
      </c>
      <c r="G121" s="13">
        <f t="shared" ref="G121:G122" si="91">G118/G$120</f>
        <v>1973.138889</v>
      </c>
      <c r="H121" s="136">
        <f t="shared" ref="H121:I121" si="89">H118/H120</f>
        <v>5454.545455</v>
      </c>
      <c r="I121" s="124">
        <f t="shared" si="89"/>
        <v>1973.138889</v>
      </c>
    </row>
    <row r="122">
      <c r="A122" s="10" t="s">
        <v>23</v>
      </c>
      <c r="B122" s="16">
        <f t="shared" ref="B122:F122" si="90">B121/$B$1</f>
        <v>2.052095905</v>
      </c>
      <c r="C122" s="16">
        <f t="shared" si="90"/>
        <v>1.943147849</v>
      </c>
      <c r="D122" s="16">
        <f t="shared" si="90"/>
        <v>1.237862688</v>
      </c>
      <c r="E122" s="16">
        <f t="shared" si="90"/>
        <v>1.087688893</v>
      </c>
      <c r="F122" s="16">
        <f t="shared" si="90"/>
        <v>1.309577347</v>
      </c>
      <c r="G122" s="17">
        <f t="shared" si="91"/>
        <v>1.428775445</v>
      </c>
      <c r="H122" s="143"/>
      <c r="I122" s="127"/>
    </row>
    <row r="123">
      <c r="A123" s="10" t="s">
        <v>47</v>
      </c>
      <c r="B123" s="20">
        <v>0.0</v>
      </c>
      <c r="C123" s="20">
        <v>0.0</v>
      </c>
      <c r="D123" s="20">
        <v>1.0</v>
      </c>
      <c r="E123" s="20">
        <v>0.0</v>
      </c>
      <c r="F123" s="20">
        <v>1.0</v>
      </c>
      <c r="G123" s="22">
        <f t="shared" ref="G123:G124" si="92">SUM(B123:F123)</f>
        <v>2</v>
      </c>
      <c r="H123" s="143">
        <v>2.0</v>
      </c>
      <c r="I123" s="127">
        <f>$G123/$G$1*30</f>
        <v>2</v>
      </c>
    </row>
    <row r="124">
      <c r="A124" s="10" t="s">
        <v>48</v>
      </c>
      <c r="B124" s="20">
        <v>0.0</v>
      </c>
      <c r="C124" s="20">
        <v>0.0</v>
      </c>
      <c r="D124" s="20">
        <v>0.0</v>
      </c>
      <c r="E124" s="20">
        <v>0.0</v>
      </c>
      <c r="F124" s="20">
        <v>1.0</v>
      </c>
      <c r="G124" s="22">
        <f t="shared" si="92"/>
        <v>1</v>
      </c>
      <c r="H124" s="143"/>
      <c r="I124" s="127"/>
    </row>
    <row r="125">
      <c r="A125" s="10" t="s">
        <v>25</v>
      </c>
      <c r="B125" s="20" t="str">
        <f t="shared" ref="B125:F125" si="93">B118/B124</f>
        <v>#DIV/0!</v>
      </c>
      <c r="C125" s="20" t="str">
        <f t="shared" si="93"/>
        <v>#DIV/0!</v>
      </c>
      <c r="D125" s="20" t="str">
        <f t="shared" si="93"/>
        <v>#DIV/0!</v>
      </c>
      <c r="E125" s="20" t="str">
        <f t="shared" si="93"/>
        <v>#DIV/0!</v>
      </c>
      <c r="F125" s="11">
        <f t="shared" si="93"/>
        <v>34362</v>
      </c>
      <c r="G125" s="13">
        <f t="shared" ref="G125:G126" si="96">G118/G$124</f>
        <v>355165</v>
      </c>
      <c r="H125" s="136">
        <f t="shared" ref="H125:I125" si="94">H118/H123</f>
        <v>150000</v>
      </c>
      <c r="I125" s="128">
        <f t="shared" si="94"/>
        <v>177582.5</v>
      </c>
    </row>
    <row r="126">
      <c r="A126" s="10" t="s">
        <v>26</v>
      </c>
      <c r="B126" s="16" t="str">
        <f t="shared" ref="B126:F126" si="95">B125/$B$1</f>
        <v>#DIV/0!</v>
      </c>
      <c r="C126" s="16" t="str">
        <f t="shared" si="95"/>
        <v>#DIV/0!</v>
      </c>
      <c r="D126" s="16" t="str">
        <f t="shared" si="95"/>
        <v>#DIV/0!</v>
      </c>
      <c r="E126" s="16" t="str">
        <f t="shared" si="95"/>
        <v>#DIV/0!</v>
      </c>
      <c r="F126" s="16">
        <f t="shared" si="95"/>
        <v>24.88196959</v>
      </c>
      <c r="G126" s="17">
        <f t="shared" si="96"/>
        <v>257.17958</v>
      </c>
      <c r="H126" s="137"/>
      <c r="I126" s="130"/>
    </row>
    <row r="127">
      <c r="A127" s="10" t="s">
        <v>27</v>
      </c>
      <c r="B127" s="27">
        <f t="shared" ref="B127:G127" si="97">B124/B120</f>
        <v>0</v>
      </c>
      <c r="C127" s="27">
        <f t="shared" si="97"/>
        <v>0</v>
      </c>
      <c r="D127" s="27">
        <f t="shared" si="97"/>
        <v>0</v>
      </c>
      <c r="E127" s="27">
        <f t="shared" si="97"/>
        <v>0</v>
      </c>
      <c r="F127" s="27">
        <f t="shared" si="97"/>
        <v>0.05263157895</v>
      </c>
      <c r="G127" s="28">
        <f t="shared" si="97"/>
        <v>0.005555555556</v>
      </c>
      <c r="H127" s="137">
        <f t="shared" ref="H127:I127" si="98">H123/H120</f>
        <v>0.03636363636</v>
      </c>
      <c r="I127" s="130">
        <f t="shared" si="98"/>
        <v>0.01111111111</v>
      </c>
    </row>
    <row r="128">
      <c r="A128" s="10" t="s">
        <v>28</v>
      </c>
      <c r="B128" s="20"/>
      <c r="C128" s="20"/>
      <c r="D128" s="21"/>
      <c r="E128" s="21"/>
      <c r="F128" s="21"/>
      <c r="G128" s="22">
        <f>SUM(B128:D128)</f>
        <v>0</v>
      </c>
      <c r="H128" s="31"/>
      <c r="I128" s="131">
        <f>$G128/$G$1*30</f>
        <v>0</v>
      </c>
    </row>
    <row r="129">
      <c r="A129" s="10" t="s">
        <v>29</v>
      </c>
      <c r="B129" s="21"/>
      <c r="C129" s="21"/>
      <c r="D129" s="21"/>
      <c r="E129" s="21"/>
      <c r="F129" s="21"/>
      <c r="G129" s="22"/>
      <c r="H129" s="31"/>
      <c r="I129" s="138" t="str">
        <f>I118/I128</f>
        <v>#DIV/0!</v>
      </c>
    </row>
    <row r="130">
      <c r="A130" s="10" t="s">
        <v>30</v>
      </c>
      <c r="B130" s="16">
        <f t="shared" ref="B130:D130" si="99">B129/$B$1</f>
        <v>0</v>
      </c>
      <c r="C130" s="16">
        <f t="shared" si="99"/>
        <v>0</v>
      </c>
      <c r="D130" s="16">
        <f t="shared" si="99"/>
        <v>0</v>
      </c>
      <c r="E130" s="21"/>
      <c r="F130" s="21"/>
      <c r="G130" s="22"/>
      <c r="H130" s="31"/>
      <c r="I130" s="132"/>
    </row>
    <row r="131">
      <c r="A131" s="10" t="s">
        <v>32</v>
      </c>
      <c r="B131" s="21"/>
      <c r="C131" s="21"/>
      <c r="D131" s="21"/>
      <c r="E131" s="21"/>
      <c r="F131" s="21"/>
      <c r="G131" s="22"/>
      <c r="H131" s="31"/>
      <c r="I131" s="132">
        <f>I128/I120</f>
        <v>0</v>
      </c>
    </row>
    <row r="134">
      <c r="A134" s="144" t="s">
        <v>60</v>
      </c>
    </row>
    <row r="135">
      <c r="A135" s="7" t="s">
        <v>3</v>
      </c>
      <c r="B135" s="8" t="s">
        <v>107</v>
      </c>
      <c r="C135" s="8" t="s">
        <v>108</v>
      </c>
      <c r="D135" s="8" t="s">
        <v>109</v>
      </c>
      <c r="E135" s="8" t="s">
        <v>110</v>
      </c>
      <c r="F135" s="8" t="str">
        <f>F3</f>
        <v>29/09 al 30/09</v>
      </c>
      <c r="G135" s="8" t="s">
        <v>43</v>
      </c>
      <c r="H135" s="9" t="s">
        <v>17</v>
      </c>
      <c r="I135" s="121" t="s">
        <v>45</v>
      </c>
    </row>
    <row r="136">
      <c r="A136" s="10" t="s">
        <v>19</v>
      </c>
      <c r="B136" s="11">
        <v>85000.0</v>
      </c>
      <c r="C136" s="11">
        <v>149000.0</v>
      </c>
      <c r="D136" s="11">
        <v>107000.0</v>
      </c>
      <c r="E136" s="11">
        <v>216000.0</v>
      </c>
      <c r="F136" s="11">
        <v>27700.0</v>
      </c>
      <c r="G136" s="13">
        <f t="shared" ref="G136:G138" si="101">SUM(B136:F136)</f>
        <v>584700</v>
      </c>
      <c r="H136" s="134">
        <v>600000.0</v>
      </c>
      <c r="I136" s="124">
        <f>$G136/$G$1*30</f>
        <v>584700</v>
      </c>
      <c r="J136" s="37">
        <f>(H136-G136)/15</f>
        <v>1020</v>
      </c>
    </row>
    <row r="137">
      <c r="A137" s="10" t="s">
        <v>20</v>
      </c>
      <c r="B137" s="16">
        <f t="shared" ref="B137:F137" si="100">B136/$B$1</f>
        <v>61.54960174</v>
      </c>
      <c r="C137" s="16">
        <f t="shared" si="100"/>
        <v>107.8928313</v>
      </c>
      <c r="D137" s="16">
        <f t="shared" si="100"/>
        <v>77.48008689</v>
      </c>
      <c r="E137" s="16">
        <f t="shared" si="100"/>
        <v>156.4083997</v>
      </c>
      <c r="F137" s="16">
        <f t="shared" si="100"/>
        <v>20.05792904</v>
      </c>
      <c r="G137" s="17">
        <f t="shared" si="101"/>
        <v>423.3888487</v>
      </c>
      <c r="H137" s="143"/>
      <c r="I137" s="127"/>
    </row>
    <row r="138">
      <c r="A138" s="10" t="s">
        <v>21</v>
      </c>
      <c r="B138" s="20">
        <v>16.0</v>
      </c>
      <c r="C138" s="20">
        <v>37.0</v>
      </c>
      <c r="D138" s="20">
        <v>28.0</v>
      </c>
      <c r="E138" s="20">
        <v>28.0</v>
      </c>
      <c r="F138" s="20">
        <v>10.0</v>
      </c>
      <c r="G138" s="22">
        <f t="shared" si="101"/>
        <v>119</v>
      </c>
      <c r="H138" s="143">
        <v>60.0</v>
      </c>
      <c r="I138" s="127">
        <f>$G138/$G$1*30</f>
        <v>119</v>
      </c>
    </row>
    <row r="139">
      <c r="A139" s="10" t="s">
        <v>22</v>
      </c>
      <c r="B139" s="12">
        <f t="shared" ref="B139:C139" si="102">B136/B138</f>
        <v>5312.5</v>
      </c>
      <c r="C139" s="12">
        <f t="shared" si="102"/>
        <v>4027.027027</v>
      </c>
      <c r="D139" s="12">
        <f t="shared" ref="D139:F139" si="103">D118/D138</f>
        <v>2625.285714</v>
      </c>
      <c r="E139" s="12">
        <f t="shared" si="103"/>
        <v>3272.428571</v>
      </c>
      <c r="F139" s="12">
        <f t="shared" si="103"/>
        <v>3436.2</v>
      </c>
      <c r="G139" s="13">
        <f t="shared" ref="G139:G140" si="106">G136/G$138</f>
        <v>4913.445378</v>
      </c>
      <c r="H139" s="136">
        <f t="shared" ref="H139:I139" si="104">H136/H138</f>
        <v>10000</v>
      </c>
      <c r="I139" s="124">
        <f t="shared" si="104"/>
        <v>4913.445378</v>
      </c>
    </row>
    <row r="140">
      <c r="A140" s="10" t="s">
        <v>23</v>
      </c>
      <c r="B140" s="16">
        <f t="shared" ref="B140:F140" si="105">B139/$B$1</f>
        <v>3.846850109</v>
      </c>
      <c r="C140" s="16">
        <f t="shared" si="105"/>
        <v>2.916022467</v>
      </c>
      <c r="D140" s="16">
        <f t="shared" si="105"/>
        <v>1.901003414</v>
      </c>
      <c r="E140" s="16">
        <f t="shared" si="105"/>
        <v>2.369607945</v>
      </c>
      <c r="F140" s="16">
        <f t="shared" si="105"/>
        <v>2.488196959</v>
      </c>
      <c r="G140" s="17">
        <f t="shared" si="106"/>
        <v>3.557889485</v>
      </c>
      <c r="H140" s="143"/>
      <c r="I140" s="127"/>
    </row>
    <row r="141">
      <c r="A141" s="10" t="s">
        <v>47</v>
      </c>
      <c r="B141" s="20">
        <v>3.0</v>
      </c>
      <c r="C141" s="20">
        <v>3.0</v>
      </c>
      <c r="D141" s="20">
        <v>3.0</v>
      </c>
      <c r="E141" s="20">
        <v>2.0</v>
      </c>
      <c r="F141" s="20">
        <v>0.0</v>
      </c>
      <c r="G141" s="22">
        <f t="shared" ref="G141:G142" si="107">SUM(B141:F141)</f>
        <v>11</v>
      </c>
      <c r="H141" s="143">
        <v>9.0</v>
      </c>
      <c r="I141" s="127">
        <f>$G141/$G$1*30</f>
        <v>11</v>
      </c>
    </row>
    <row r="142">
      <c r="A142" s="10" t="s">
        <v>48</v>
      </c>
      <c r="B142" s="20">
        <v>3.0</v>
      </c>
      <c r="C142" s="20">
        <v>3.0</v>
      </c>
      <c r="D142" s="20">
        <v>3.0</v>
      </c>
      <c r="E142" s="20">
        <v>1.0</v>
      </c>
      <c r="F142" s="20">
        <v>0.0</v>
      </c>
      <c r="G142" s="22">
        <f t="shared" si="107"/>
        <v>10</v>
      </c>
      <c r="H142" s="143"/>
      <c r="I142" s="127"/>
    </row>
    <row r="143">
      <c r="A143" s="10" t="s">
        <v>25</v>
      </c>
      <c r="B143" s="12">
        <f t="shared" ref="B143:E143" si="108">B136/B142</f>
        <v>28333.33333</v>
      </c>
      <c r="C143" s="12">
        <f t="shared" si="108"/>
        <v>49666.66667</v>
      </c>
      <c r="D143" s="12">
        <f t="shared" si="108"/>
        <v>35666.66667</v>
      </c>
      <c r="E143" s="12">
        <f t="shared" si="108"/>
        <v>216000</v>
      </c>
      <c r="F143" s="21"/>
      <c r="G143" s="13">
        <f t="shared" ref="G143:G144" si="111">G136/G$142</f>
        <v>58470</v>
      </c>
      <c r="H143" s="136">
        <f t="shared" ref="H143:I143" si="109">H136/H141</f>
        <v>66666.66667</v>
      </c>
      <c r="I143" s="128">
        <f t="shared" si="109"/>
        <v>53154.54545</v>
      </c>
    </row>
    <row r="144">
      <c r="A144" s="10" t="s">
        <v>26</v>
      </c>
      <c r="B144" s="16">
        <f t="shared" ref="B144:E144" si="110">B143/$B$1</f>
        <v>20.51653391</v>
      </c>
      <c r="C144" s="16">
        <f t="shared" si="110"/>
        <v>35.96427709</v>
      </c>
      <c r="D144" s="16">
        <f t="shared" si="110"/>
        <v>25.82669563</v>
      </c>
      <c r="E144" s="16">
        <f t="shared" si="110"/>
        <v>156.4083997</v>
      </c>
      <c r="F144" s="21"/>
      <c r="G144" s="17">
        <f t="shared" si="111"/>
        <v>42.33888487</v>
      </c>
      <c r="H144" s="137"/>
      <c r="I144" s="130"/>
    </row>
    <row r="145">
      <c r="A145" s="10" t="s">
        <v>27</v>
      </c>
      <c r="B145" s="27">
        <f t="shared" ref="B145:G145" si="112">B142/B138</f>
        <v>0.1875</v>
      </c>
      <c r="C145" s="27">
        <f t="shared" si="112"/>
        <v>0.08108108108</v>
      </c>
      <c r="D145" s="27">
        <f t="shared" si="112"/>
        <v>0.1071428571</v>
      </c>
      <c r="E145" s="27">
        <f t="shared" si="112"/>
        <v>0.03571428571</v>
      </c>
      <c r="F145" s="27">
        <f t="shared" si="112"/>
        <v>0</v>
      </c>
      <c r="G145" s="28">
        <f t="shared" si="112"/>
        <v>0.08403361345</v>
      </c>
      <c r="H145" s="137">
        <f t="shared" ref="H145:I145" si="113">H141/H138</f>
        <v>0.15</v>
      </c>
      <c r="I145" s="130">
        <f t="shared" si="113"/>
        <v>0.09243697479</v>
      </c>
    </row>
    <row r="146">
      <c r="A146" s="10" t="s">
        <v>28</v>
      </c>
      <c r="B146" s="20">
        <v>0.0</v>
      </c>
      <c r="C146" s="20">
        <v>0.0</v>
      </c>
      <c r="D146" s="20">
        <v>0.0</v>
      </c>
      <c r="E146" s="21"/>
      <c r="F146" s="21"/>
      <c r="G146" s="22">
        <f>SUM(B146:D146)</f>
        <v>0</v>
      </c>
      <c r="H146" s="31"/>
      <c r="I146" s="131">
        <f>$G146/$G$1*30</f>
        <v>0</v>
      </c>
    </row>
    <row r="147">
      <c r="A147" s="10" t="s">
        <v>29</v>
      </c>
      <c r="B147" s="21"/>
      <c r="C147" s="21"/>
      <c r="D147" s="21"/>
      <c r="E147" s="21"/>
      <c r="F147" s="21"/>
      <c r="G147" s="22"/>
      <c r="H147" s="31"/>
      <c r="I147" s="138" t="str">
        <f>I136/I146</f>
        <v>#DIV/0!</v>
      </c>
    </row>
    <row r="148">
      <c r="A148" s="10" t="s">
        <v>30</v>
      </c>
      <c r="B148" s="16">
        <f t="shared" ref="B148:D148" si="114">B147/$B$1</f>
        <v>0</v>
      </c>
      <c r="C148" s="16">
        <f t="shared" si="114"/>
        <v>0</v>
      </c>
      <c r="D148" s="16">
        <f t="shared" si="114"/>
        <v>0</v>
      </c>
      <c r="E148" s="21"/>
      <c r="F148" s="21"/>
      <c r="G148" s="22"/>
      <c r="H148" s="31"/>
      <c r="I148" s="132"/>
    </row>
    <row r="149">
      <c r="A149" s="10" t="s">
        <v>32</v>
      </c>
      <c r="B149" s="21"/>
      <c r="C149" s="21"/>
      <c r="D149" s="21"/>
      <c r="E149" s="21"/>
      <c r="F149" s="21"/>
      <c r="G149" s="22"/>
      <c r="H149" s="31"/>
      <c r="I149" s="132">
        <f>I146/I138</f>
        <v>0</v>
      </c>
    </row>
    <row r="152">
      <c r="A152" s="4" t="s">
        <v>118</v>
      </c>
    </row>
    <row r="153">
      <c r="A153" s="7" t="s">
        <v>3</v>
      </c>
      <c r="B153" s="8" t="s">
        <v>107</v>
      </c>
      <c r="C153" s="8" t="s">
        <v>108</v>
      </c>
      <c r="D153" s="8" t="s">
        <v>109</v>
      </c>
      <c r="E153" s="8" t="s">
        <v>110</v>
      </c>
      <c r="F153" s="8" t="str">
        <f>F3</f>
        <v>29/09 al 30/09</v>
      </c>
      <c r="G153" s="8" t="s">
        <v>43</v>
      </c>
    </row>
    <row r="154">
      <c r="A154" s="10" t="s">
        <v>62</v>
      </c>
      <c r="B154" s="11">
        <f t="shared" ref="B154:C154" si="115">B118+B105+B92+B75+B57+B39+B21</f>
        <v>1297795</v>
      </c>
      <c r="C154" s="11">
        <f t="shared" si="115"/>
        <v>1507780</v>
      </c>
      <c r="D154" s="11">
        <f t="shared" ref="D154:F154" si="116">D4</f>
        <v>1813941</v>
      </c>
      <c r="E154" s="11">
        <f t="shared" si="116"/>
        <v>1951414</v>
      </c>
      <c r="F154" s="11">
        <f t="shared" si="116"/>
        <v>563869</v>
      </c>
      <c r="G154" s="13">
        <f t="shared" ref="G154:G158" si="118">SUM(B154:F154)</f>
        <v>7134799</v>
      </c>
    </row>
    <row r="155">
      <c r="A155" s="10" t="s">
        <v>63</v>
      </c>
      <c r="B155" s="11">
        <f t="shared" ref="B155:F155" si="117">B136</f>
        <v>85000</v>
      </c>
      <c r="C155" s="11">
        <f t="shared" si="117"/>
        <v>149000</v>
      </c>
      <c r="D155" s="11">
        <f t="shared" si="117"/>
        <v>107000</v>
      </c>
      <c r="E155" s="11">
        <f t="shared" si="117"/>
        <v>216000</v>
      </c>
      <c r="F155" s="11">
        <f t="shared" si="117"/>
        <v>27700</v>
      </c>
      <c r="G155" s="13">
        <f t="shared" si="118"/>
        <v>584700</v>
      </c>
    </row>
    <row r="156">
      <c r="A156" s="10" t="s">
        <v>64</v>
      </c>
      <c r="B156" s="21">
        <f t="shared" ref="B156:F156" si="119">B157+B158</f>
        <v>36</v>
      </c>
      <c r="C156" s="21">
        <f t="shared" si="119"/>
        <v>35</v>
      </c>
      <c r="D156" s="21">
        <f t="shared" si="119"/>
        <v>32</v>
      </c>
      <c r="E156" s="21">
        <f t="shared" si="119"/>
        <v>21</v>
      </c>
      <c r="F156" s="21">
        <f t="shared" si="119"/>
        <v>8</v>
      </c>
      <c r="G156" s="22">
        <f t="shared" si="118"/>
        <v>132</v>
      </c>
    </row>
    <row r="157">
      <c r="A157" s="10" t="s">
        <v>65</v>
      </c>
      <c r="B157" s="20">
        <v>33.0</v>
      </c>
      <c r="C157" s="20">
        <v>32.0</v>
      </c>
      <c r="D157" s="20">
        <v>29.0</v>
      </c>
      <c r="E157" s="20">
        <v>20.0</v>
      </c>
      <c r="F157" s="20">
        <v>8.0</v>
      </c>
      <c r="G157" s="22">
        <f t="shared" si="118"/>
        <v>122</v>
      </c>
    </row>
    <row r="158">
      <c r="A158" s="10" t="s">
        <v>66</v>
      </c>
      <c r="B158" s="20">
        <f t="shared" ref="B158:F158" si="120">B142</f>
        <v>3</v>
      </c>
      <c r="C158" s="20">
        <f t="shared" si="120"/>
        <v>3</v>
      </c>
      <c r="D158" s="20">
        <f t="shared" si="120"/>
        <v>3</v>
      </c>
      <c r="E158" s="20">
        <f t="shared" si="120"/>
        <v>1</v>
      </c>
      <c r="F158" s="20">
        <f t="shared" si="120"/>
        <v>0</v>
      </c>
      <c r="G158" s="22">
        <f t="shared" si="118"/>
        <v>10</v>
      </c>
    </row>
    <row r="159">
      <c r="A159" s="10" t="s">
        <v>67</v>
      </c>
      <c r="B159" s="12">
        <f t="shared" ref="B159:B160" si="122">B154/B157</f>
        <v>39327.12121</v>
      </c>
      <c r="C159" s="12">
        <f t="shared" ref="C159:G159" si="121">C154/C156</f>
        <v>43079.42857</v>
      </c>
      <c r="D159" s="12">
        <f t="shared" si="121"/>
        <v>56685.65625</v>
      </c>
      <c r="E159" s="12">
        <f t="shared" si="121"/>
        <v>92924.47619</v>
      </c>
      <c r="F159" s="12">
        <f t="shared" si="121"/>
        <v>70483.625</v>
      </c>
      <c r="G159" s="13">
        <f t="shared" si="121"/>
        <v>54051.50758</v>
      </c>
    </row>
    <row r="160">
      <c r="A160" s="10" t="s">
        <v>68</v>
      </c>
      <c r="B160" s="12">
        <f t="shared" si="122"/>
        <v>28333.33333</v>
      </c>
      <c r="C160" s="12">
        <f t="shared" ref="C160:G160" si="123">C155/C158</f>
        <v>49666.66667</v>
      </c>
      <c r="D160" s="12">
        <f t="shared" si="123"/>
        <v>35666.66667</v>
      </c>
      <c r="E160" s="12">
        <f t="shared" si="123"/>
        <v>216000</v>
      </c>
      <c r="F160" s="21" t="str">
        <f t="shared" si="123"/>
        <v>#DIV/0!</v>
      </c>
      <c r="G160" s="13">
        <f t="shared" si="123"/>
        <v>58470</v>
      </c>
    </row>
    <row r="161">
      <c r="A161" s="10" t="s">
        <v>69</v>
      </c>
      <c r="B161" s="20">
        <v>0.0</v>
      </c>
      <c r="C161" s="20">
        <v>0.0</v>
      </c>
      <c r="D161" s="20">
        <v>0.0</v>
      </c>
      <c r="E161" s="20">
        <v>0.0</v>
      </c>
      <c r="F161" s="20">
        <v>0.0</v>
      </c>
      <c r="G161" s="22"/>
    </row>
    <row r="162">
      <c r="A162" s="10" t="s">
        <v>70</v>
      </c>
      <c r="B162" s="20">
        <v>0.0</v>
      </c>
      <c r="C162" s="20">
        <v>0.0</v>
      </c>
      <c r="D162" s="20">
        <v>0.0</v>
      </c>
      <c r="E162" s="20">
        <v>0.0</v>
      </c>
      <c r="F162" s="20">
        <v>0.0</v>
      </c>
      <c r="G162" s="22"/>
    </row>
    <row r="163">
      <c r="A163" s="10" t="s">
        <v>71</v>
      </c>
      <c r="B163" s="21"/>
      <c r="C163" s="21"/>
      <c r="D163" s="21"/>
      <c r="E163" s="21"/>
      <c r="F163" s="21"/>
      <c r="G163" s="22"/>
    </row>
    <row r="164">
      <c r="A164" s="10" t="s">
        <v>72</v>
      </c>
      <c r="B164" s="21"/>
      <c r="C164" s="21"/>
      <c r="D164" s="21"/>
      <c r="E164" s="21"/>
      <c r="F164" s="21"/>
      <c r="G164" s="22"/>
    </row>
    <row r="165">
      <c r="A165" s="10" t="s">
        <v>32</v>
      </c>
      <c r="B165" s="21"/>
      <c r="C165" s="21"/>
      <c r="D165" s="21"/>
      <c r="E165" s="21"/>
      <c r="F165" s="21"/>
      <c r="G165" s="22"/>
    </row>
    <row r="168">
      <c r="A168" s="142" t="s">
        <v>73</v>
      </c>
    </row>
    <row r="169">
      <c r="A169" s="7" t="s">
        <v>3</v>
      </c>
      <c r="B169" s="8" t="s">
        <v>54</v>
      </c>
      <c r="C169" s="8" t="s">
        <v>55</v>
      </c>
      <c r="D169" s="8" t="s">
        <v>56</v>
      </c>
      <c r="E169" s="8" t="s">
        <v>74</v>
      </c>
      <c r="F169" s="8" t="s">
        <v>75</v>
      </c>
      <c r="G169" s="8" t="s">
        <v>94</v>
      </c>
      <c r="H169" s="8" t="s">
        <v>76</v>
      </c>
      <c r="I169" s="8" t="s">
        <v>43</v>
      </c>
    </row>
    <row r="170">
      <c r="A170" s="10" t="s">
        <v>19</v>
      </c>
      <c r="B170" s="12">
        <f>G21</f>
        <v>1287355</v>
      </c>
      <c r="C170" s="12">
        <f>G39</f>
        <v>1727297</v>
      </c>
      <c r="D170" s="12">
        <f>G57</f>
        <v>2815026</v>
      </c>
      <c r="E170" s="12">
        <f>G75</f>
        <v>548388</v>
      </c>
      <c r="F170" s="12">
        <f>G92</f>
        <v>41927</v>
      </c>
      <c r="G170" s="12">
        <f>G118</f>
        <v>355165</v>
      </c>
      <c r="H170" s="12">
        <f>G136</f>
        <v>584700</v>
      </c>
      <c r="I170" s="12">
        <f>SUM(B170:H170)</f>
        <v>7359858</v>
      </c>
    </row>
    <row r="171">
      <c r="A171" s="10" t="s">
        <v>77</v>
      </c>
      <c r="B171" s="27">
        <f t="shared" ref="B171:I171" si="124">B170/SUM($B$170:$H$170)</f>
        <v>0.1749157389</v>
      </c>
      <c r="C171" s="27">
        <f t="shared" si="124"/>
        <v>0.2346916204</v>
      </c>
      <c r="D171" s="27">
        <f t="shared" si="124"/>
        <v>0.3824837381</v>
      </c>
      <c r="E171" s="27">
        <f t="shared" si="124"/>
        <v>0.0745106767</v>
      </c>
      <c r="F171" s="27">
        <f t="shared" si="124"/>
        <v>0.00569671317</v>
      </c>
      <c r="G171" s="27">
        <f t="shared" si="124"/>
        <v>0.04825704518</v>
      </c>
      <c r="H171" s="27">
        <f t="shared" si="124"/>
        <v>0.07944446754</v>
      </c>
      <c r="I171" s="27">
        <f t="shared" si="124"/>
        <v>1</v>
      </c>
    </row>
    <row r="172">
      <c r="A172" s="10" t="s">
        <v>21</v>
      </c>
      <c r="B172" s="21">
        <f t="shared" ref="B172:B173" si="125">G23</f>
        <v>156</v>
      </c>
      <c r="C172" s="21">
        <f t="shared" ref="C172:C173" si="126">G41</f>
        <v>273</v>
      </c>
      <c r="D172" s="21">
        <f t="shared" ref="D172:D173" si="127">G59</f>
        <v>532</v>
      </c>
      <c r="E172" s="21">
        <f t="shared" ref="E172:E173" si="128">G77</f>
        <v>157</v>
      </c>
      <c r="F172" s="21">
        <f t="shared" ref="F172:F177" si="129">G93</f>
        <v>12</v>
      </c>
      <c r="G172" s="21">
        <f t="shared" ref="G172:G173" si="130">G120</f>
        <v>180</v>
      </c>
      <c r="H172" s="21">
        <f t="shared" ref="H172:H173" si="131">G138</f>
        <v>119</v>
      </c>
      <c r="I172" s="21">
        <f>SUM(B172:H172)</f>
        <v>1429</v>
      </c>
    </row>
    <row r="173">
      <c r="A173" s="10" t="s">
        <v>22</v>
      </c>
      <c r="B173" s="12">
        <f t="shared" si="125"/>
        <v>8252.275641</v>
      </c>
      <c r="C173" s="12">
        <f t="shared" si="126"/>
        <v>6327.095238</v>
      </c>
      <c r="D173" s="12">
        <f t="shared" si="127"/>
        <v>5291.402256</v>
      </c>
      <c r="E173" s="12">
        <f t="shared" si="128"/>
        <v>3492.917197</v>
      </c>
      <c r="F173" s="12">
        <f t="shared" si="129"/>
        <v>3493.916667</v>
      </c>
      <c r="G173" s="12">
        <f t="shared" si="130"/>
        <v>1973.138889</v>
      </c>
      <c r="H173" s="12">
        <f t="shared" si="131"/>
        <v>4913.445378</v>
      </c>
      <c r="I173" s="12">
        <f>I170/I172</f>
        <v>5150.355493</v>
      </c>
    </row>
    <row r="174">
      <c r="A174" s="10" t="s">
        <v>24</v>
      </c>
      <c r="B174" s="21">
        <f t="shared" ref="B174:B175" si="132">G27</f>
        <v>25</v>
      </c>
      <c r="C174" s="21">
        <f t="shared" ref="C174:C175" si="133">G45</f>
        <v>15</v>
      </c>
      <c r="D174" s="21">
        <f t="shared" ref="D174:D175" si="134">G63</f>
        <v>43</v>
      </c>
      <c r="E174" s="21">
        <f t="shared" ref="E174:E175" si="135">G81</f>
        <v>13</v>
      </c>
      <c r="F174" s="21">
        <f t="shared" si="129"/>
        <v>1</v>
      </c>
      <c r="G174" s="21">
        <f t="shared" ref="G174:G175" si="136">G124</f>
        <v>1</v>
      </c>
      <c r="H174" s="21">
        <f t="shared" ref="H174:H175" si="137">G142</f>
        <v>10</v>
      </c>
      <c r="I174" s="21">
        <f>SUM(B174:H174)</f>
        <v>108</v>
      </c>
    </row>
    <row r="175">
      <c r="A175" s="10" t="s">
        <v>25</v>
      </c>
      <c r="B175" s="12">
        <f t="shared" si="132"/>
        <v>51494.2</v>
      </c>
      <c r="C175" s="12">
        <f t="shared" si="133"/>
        <v>115153.1333</v>
      </c>
      <c r="D175" s="12">
        <f t="shared" si="134"/>
        <v>65465.72093</v>
      </c>
      <c r="E175" s="12">
        <f t="shared" si="135"/>
        <v>42183.69231</v>
      </c>
      <c r="F175" s="12">
        <f t="shared" si="129"/>
        <v>41927</v>
      </c>
      <c r="G175" s="12">
        <f t="shared" si="136"/>
        <v>355165</v>
      </c>
      <c r="H175" s="12">
        <f t="shared" si="137"/>
        <v>58470</v>
      </c>
      <c r="I175" s="12">
        <f>I170/I174</f>
        <v>68146.83333</v>
      </c>
    </row>
    <row r="176">
      <c r="A176" s="10" t="s">
        <v>27</v>
      </c>
      <c r="B176" s="27">
        <f>G30</f>
        <v>0.1602564103</v>
      </c>
      <c r="C176" s="27">
        <f t="shared" ref="C176:C177" si="139">G48</f>
        <v>0.05494505495</v>
      </c>
      <c r="D176" s="27">
        <f t="shared" ref="D176:D177" si="140">G66</f>
        <v>0.08082706767</v>
      </c>
      <c r="E176" s="27">
        <f t="shared" ref="E176:E178" si="141">G84</f>
        <v>0.08280254777</v>
      </c>
      <c r="F176" s="27">
        <f t="shared" si="129"/>
        <v>0.08333333333</v>
      </c>
      <c r="G176" s="27">
        <f t="shared" ref="G176:G178" si="142">G127</f>
        <v>0.005555555556</v>
      </c>
      <c r="H176" s="27">
        <f t="shared" ref="H176:I176" si="138">G145</f>
        <v>0.08403361345</v>
      </c>
      <c r="I176" s="27">
        <f t="shared" si="138"/>
        <v>0.15</v>
      </c>
    </row>
    <row r="177">
      <c r="A177" s="10" t="s">
        <v>28</v>
      </c>
      <c r="B177" s="21"/>
      <c r="C177" s="21">
        <f t="shared" si="139"/>
        <v>0</v>
      </c>
      <c r="D177" s="21">
        <f t="shared" si="140"/>
        <v>3</v>
      </c>
      <c r="E177" s="21">
        <f t="shared" si="141"/>
        <v>0</v>
      </c>
      <c r="F177" s="21">
        <f t="shared" si="129"/>
        <v>0</v>
      </c>
      <c r="G177" s="21">
        <f t="shared" si="142"/>
        <v>0</v>
      </c>
      <c r="H177" s="21">
        <f t="shared" ref="H177:I177" si="143">G146</f>
        <v>0</v>
      </c>
      <c r="I177" s="21" t="str">
        <f t="shared" si="143"/>
        <v/>
      </c>
    </row>
    <row r="178">
      <c r="A178" s="10" t="s">
        <v>29</v>
      </c>
      <c r="B178" s="12">
        <f>G32</f>
        <v>1287355</v>
      </c>
      <c r="C178" s="21"/>
      <c r="D178" s="21"/>
      <c r="E178" s="21" t="str">
        <f t="shared" si="141"/>
        <v/>
      </c>
      <c r="F178" s="21"/>
      <c r="G178" s="21" t="str">
        <f t="shared" si="142"/>
        <v/>
      </c>
      <c r="H178" s="21" t="str">
        <f t="shared" ref="H178:I178" si="144">G147</f>
        <v/>
      </c>
      <c r="I178" s="21" t="str">
        <f t="shared" si="144"/>
        <v/>
      </c>
    </row>
    <row r="179">
      <c r="A179" s="10" t="s">
        <v>32</v>
      </c>
      <c r="B179" s="21" t="str">
        <f>G34</f>
        <v/>
      </c>
      <c r="C179" s="21"/>
      <c r="D179" s="21"/>
      <c r="E179" s="21" t="str">
        <f>G88</f>
        <v/>
      </c>
      <c r="F179" s="21"/>
      <c r="G179" s="21" t="str">
        <f>G131</f>
        <v/>
      </c>
      <c r="H179" s="21" t="str">
        <f t="shared" ref="H179:I179" si="145">G149</f>
        <v/>
      </c>
      <c r="I179" s="21" t="str">
        <f t="shared" si="145"/>
        <v/>
      </c>
    </row>
    <row r="181">
      <c r="A181" s="145" t="s">
        <v>35</v>
      </c>
      <c r="B181" s="146" t="s">
        <v>54</v>
      </c>
      <c r="C181" s="146" t="s">
        <v>55</v>
      </c>
      <c r="D181" s="146" t="s">
        <v>56</v>
      </c>
      <c r="E181" s="146" t="s">
        <v>74</v>
      </c>
      <c r="F181" s="146" t="s">
        <v>75</v>
      </c>
      <c r="G181" s="146" t="s">
        <v>94</v>
      </c>
      <c r="H181" s="146" t="s">
        <v>76</v>
      </c>
      <c r="I181" s="146" t="s">
        <v>1</v>
      </c>
    </row>
    <row r="182">
      <c r="A182" s="147" t="s">
        <v>79</v>
      </c>
      <c r="B182" s="104">
        <v>55000.0</v>
      </c>
      <c r="C182" s="104">
        <v>55000.0</v>
      </c>
      <c r="D182" s="104">
        <v>120000.0</v>
      </c>
      <c r="E182" s="104">
        <v>20000.0</v>
      </c>
      <c r="F182" s="104">
        <v>0.0</v>
      </c>
      <c r="G182" s="104">
        <v>10000.0</v>
      </c>
      <c r="H182" s="104">
        <v>20000.0</v>
      </c>
      <c r="I182" s="148">
        <f t="shared" ref="I182:I183" si="147">SUM(B182:H182)</f>
        <v>280000</v>
      </c>
    </row>
    <row r="183">
      <c r="A183" s="147" t="s">
        <v>19</v>
      </c>
      <c r="B183" s="104">
        <f t="shared" ref="B183:H183" si="146">B182*30</f>
        <v>1650000</v>
      </c>
      <c r="C183" s="104">
        <f t="shared" si="146"/>
        <v>1650000</v>
      </c>
      <c r="D183" s="104">
        <f t="shared" si="146"/>
        <v>3600000</v>
      </c>
      <c r="E183" s="104">
        <f t="shared" si="146"/>
        <v>600000</v>
      </c>
      <c r="F183" s="104">
        <f t="shared" si="146"/>
        <v>0</v>
      </c>
      <c r="G183" s="104">
        <f t="shared" si="146"/>
        <v>300000</v>
      </c>
      <c r="H183" s="104">
        <f t="shared" si="146"/>
        <v>600000</v>
      </c>
      <c r="I183" s="148">
        <f t="shared" si="147"/>
        <v>8400000</v>
      </c>
    </row>
    <row r="184">
      <c r="A184" s="147" t="s">
        <v>80</v>
      </c>
      <c r="B184" s="149">
        <f t="shared" ref="B184:I184" si="148">B183/$I$183</f>
        <v>0.1964285714</v>
      </c>
      <c r="C184" s="149">
        <f t="shared" si="148"/>
        <v>0.1964285714</v>
      </c>
      <c r="D184" s="149">
        <f t="shared" si="148"/>
        <v>0.4285714286</v>
      </c>
      <c r="E184" s="149">
        <f t="shared" si="148"/>
        <v>0.07142857143</v>
      </c>
      <c r="F184" s="149">
        <f t="shared" si="148"/>
        <v>0</v>
      </c>
      <c r="G184" s="149">
        <f t="shared" si="148"/>
        <v>0.03571428571</v>
      </c>
      <c r="H184" s="149">
        <f t="shared" si="148"/>
        <v>0.07142857143</v>
      </c>
      <c r="I184" s="150">
        <f t="shared" si="148"/>
        <v>1</v>
      </c>
    </row>
    <row r="185">
      <c r="A185" s="147" t="s">
        <v>22</v>
      </c>
      <c r="B185" s="104">
        <v>5000.0</v>
      </c>
      <c r="C185" s="104">
        <v>5000.0</v>
      </c>
      <c r="D185" s="104">
        <v>4000.0</v>
      </c>
      <c r="E185" s="104">
        <v>2500.0</v>
      </c>
      <c r="F185" s="156"/>
      <c r="G185" s="104">
        <v>5500.0</v>
      </c>
      <c r="H185" s="104">
        <v>10000.0</v>
      </c>
      <c r="I185" s="148">
        <f>I183/I186</f>
        <v>4387.464387</v>
      </c>
    </row>
    <row r="186">
      <c r="A186" s="147" t="s">
        <v>21</v>
      </c>
      <c r="B186" s="152">
        <f t="shared" ref="B186:E186" si="149">B183/B185</f>
        <v>330</v>
      </c>
      <c r="C186" s="152">
        <f t="shared" si="149"/>
        <v>330</v>
      </c>
      <c r="D186" s="152">
        <f t="shared" si="149"/>
        <v>900</v>
      </c>
      <c r="E186" s="152">
        <f t="shared" si="149"/>
        <v>240</v>
      </c>
      <c r="F186" s="157"/>
      <c r="G186" s="152">
        <f t="shared" ref="G186:H186" si="150">G183/G185</f>
        <v>54.54545455</v>
      </c>
      <c r="H186" s="152">
        <f t="shared" si="150"/>
        <v>60</v>
      </c>
      <c r="I186" s="153">
        <f>SUM(B186:H186)</f>
        <v>1914.545455</v>
      </c>
    </row>
    <row r="187">
      <c r="A187" s="147" t="s">
        <v>27</v>
      </c>
      <c r="B187" s="158">
        <v>0.075</v>
      </c>
      <c r="C187" s="158">
        <v>0.075</v>
      </c>
      <c r="D187" s="158">
        <v>0.08</v>
      </c>
      <c r="E187" s="158">
        <v>0.06</v>
      </c>
      <c r="F187" s="159"/>
      <c r="G187" s="113">
        <v>0.04</v>
      </c>
      <c r="H187" s="113">
        <v>0.15</v>
      </c>
      <c r="I187" s="150">
        <f>I188/I186</f>
        <v>0.07682336182</v>
      </c>
    </row>
    <row r="188">
      <c r="A188" s="147" t="s">
        <v>24</v>
      </c>
      <c r="B188" s="152">
        <f t="shared" ref="B188:E188" si="151">B186*B187</f>
        <v>24.75</v>
      </c>
      <c r="C188" s="152">
        <f t="shared" si="151"/>
        <v>24.75</v>
      </c>
      <c r="D188" s="152">
        <f t="shared" si="151"/>
        <v>72</v>
      </c>
      <c r="E188" s="152">
        <f t="shared" si="151"/>
        <v>14.4</v>
      </c>
      <c r="F188" s="157"/>
      <c r="G188" s="152">
        <f t="shared" ref="G188:H188" si="152">G186*G187</f>
        <v>2.181818182</v>
      </c>
      <c r="H188" s="152">
        <f t="shared" si="152"/>
        <v>9</v>
      </c>
      <c r="I188" s="153">
        <f>SUM(B188:H188)</f>
        <v>147.0818182</v>
      </c>
    </row>
    <row r="189">
      <c r="A189" s="147" t="s">
        <v>25</v>
      </c>
      <c r="B189" s="104">
        <f t="shared" ref="B189:E189" si="153">B183/B188</f>
        <v>66666.66667</v>
      </c>
      <c r="C189" s="104">
        <f t="shared" si="153"/>
        <v>66666.66667</v>
      </c>
      <c r="D189" s="104">
        <f t="shared" si="153"/>
        <v>50000</v>
      </c>
      <c r="E189" s="104">
        <f t="shared" si="153"/>
        <v>41666.66667</v>
      </c>
      <c r="F189" s="159"/>
      <c r="G189" s="104">
        <f t="shared" ref="G189:I189" si="154">G183/G188</f>
        <v>137500</v>
      </c>
      <c r="H189" s="104">
        <f t="shared" si="154"/>
        <v>66666.66667</v>
      </c>
      <c r="I189" s="148">
        <f t="shared" si="154"/>
        <v>57111.06991</v>
      </c>
    </row>
  </sheetData>
  <mergeCells count="4">
    <mergeCell ref="K3:Q17"/>
    <mergeCell ref="K20:Q34"/>
    <mergeCell ref="K38:Q52"/>
    <mergeCell ref="K56:Q70"/>
  </mergeCells>
  <conditionalFormatting sqref="B176:I176">
    <cfRule type="cellIs" dxfId="0" priority="1" operator="greaterThanOrEqual">
      <formula>"8%"</formula>
    </cfRule>
  </conditionalFormatting>
  <conditionalFormatting sqref="B176:I176">
    <cfRule type="cellIs" dxfId="1" priority="2" operator="lessThan">
      <formula>"7%"</formula>
    </cfRule>
  </conditionalFormatting>
  <printOptions gridLines="1" horizontalCentered="1"/>
  <pageMargins bottom="0.75" footer="0.0" header="0.0" left="0.7" right="0.7" top="0.75"/>
  <pageSetup fitToHeight="0" paperSize="9"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4.25"/>
    <col customWidth="1" min="2" max="2" width="19.38"/>
    <col customWidth="1" min="3" max="3" width="18.38"/>
    <col customWidth="1" min="4" max="4" width="18.13"/>
    <col customWidth="1" min="5" max="6" width="16.13"/>
    <col customWidth="1" min="7" max="7" width="15.25"/>
    <col customWidth="1" min="8" max="8" width="13.13"/>
    <col customWidth="1" min="9" max="9" width="15.13"/>
  </cols>
  <sheetData>
    <row r="1">
      <c r="A1" s="2" t="s">
        <v>0</v>
      </c>
      <c r="B1" s="2">
        <v>1363.0</v>
      </c>
      <c r="H1" s="118" t="s">
        <v>37</v>
      </c>
      <c r="I1" s="119">
        <f>30/30</f>
        <v>1</v>
      </c>
    </row>
    <row r="2">
      <c r="A2" s="4" t="s">
        <v>1</v>
      </c>
    </row>
    <row r="3">
      <c r="A3" s="7" t="s">
        <v>3</v>
      </c>
      <c r="B3" s="8" t="s">
        <v>119</v>
      </c>
      <c r="C3" s="8" t="s">
        <v>120</v>
      </c>
      <c r="D3" s="8" t="s">
        <v>121</v>
      </c>
      <c r="E3" s="8" t="s">
        <v>122</v>
      </c>
      <c r="F3" s="8" t="s">
        <v>123</v>
      </c>
      <c r="G3" s="8" t="s">
        <v>43</v>
      </c>
      <c r="H3" s="9" t="s">
        <v>17</v>
      </c>
      <c r="I3" s="120" t="s">
        <v>44</v>
      </c>
      <c r="K3" s="140" t="s">
        <v>124</v>
      </c>
      <c r="L3" s="49"/>
      <c r="M3" s="49"/>
      <c r="N3" s="49"/>
      <c r="O3" s="49"/>
      <c r="P3" s="49"/>
      <c r="Q3" s="50"/>
    </row>
    <row r="4">
      <c r="A4" s="10" t="s">
        <v>19</v>
      </c>
      <c r="B4" s="11">
        <f t="shared" ref="B4:D4" si="1">B16+B32+B48+B64+B79+B92+B118</f>
        <v>2104095</v>
      </c>
      <c r="C4" s="11">
        <f t="shared" si="1"/>
        <v>1549574</v>
      </c>
      <c r="D4" s="11">
        <f t="shared" si="1"/>
        <v>1161165</v>
      </c>
      <c r="E4" s="11">
        <f>143000+1237306</f>
        <v>1380306</v>
      </c>
      <c r="F4" s="11">
        <f>F16+F32+F48+F64+F79+F92+F118</f>
        <v>549829</v>
      </c>
      <c r="G4" s="13">
        <f t="shared" ref="G4:G5" si="3">SUM(B4:F4)</f>
        <v>6744969</v>
      </c>
      <c r="H4" s="14">
        <v>7500000.0</v>
      </c>
      <c r="I4" s="123">
        <f t="shared" ref="I4:I5" si="4">G4/H4</f>
        <v>0.8993292</v>
      </c>
      <c r="K4" s="57"/>
      <c r="Q4" s="58"/>
    </row>
    <row r="5">
      <c r="A5" s="10" t="s">
        <v>21</v>
      </c>
      <c r="B5" s="20">
        <f t="shared" ref="B5:D5" si="2">B17+B33+B49+B65+B80+B93+B106+B119</f>
        <v>242</v>
      </c>
      <c r="C5" s="20">
        <f t="shared" si="2"/>
        <v>335</v>
      </c>
      <c r="D5" s="20">
        <f t="shared" si="2"/>
        <v>209</v>
      </c>
      <c r="E5" s="20">
        <v>269.0</v>
      </c>
      <c r="F5" s="20">
        <v>100.0</v>
      </c>
      <c r="G5" s="22">
        <f t="shared" si="3"/>
        <v>1155</v>
      </c>
      <c r="H5" s="126">
        <f>H4/H6</f>
        <v>1829.268293</v>
      </c>
      <c r="I5" s="123">
        <f t="shared" si="4"/>
        <v>0.6314</v>
      </c>
      <c r="K5" s="57"/>
      <c r="Q5" s="58"/>
    </row>
    <row r="6">
      <c r="A6" s="10" t="s">
        <v>22</v>
      </c>
      <c r="B6" s="12">
        <f t="shared" ref="B6:G6" si="5">B4/B5</f>
        <v>8694.607438</v>
      </c>
      <c r="C6" s="12">
        <f t="shared" si="5"/>
        <v>4625.59403</v>
      </c>
      <c r="D6" s="12">
        <f t="shared" si="5"/>
        <v>5555.813397</v>
      </c>
      <c r="E6" s="12">
        <f t="shared" si="5"/>
        <v>5131.249071</v>
      </c>
      <c r="F6" s="12">
        <f t="shared" si="5"/>
        <v>5498.29</v>
      </c>
      <c r="G6" s="13">
        <f t="shared" si="5"/>
        <v>5839.8</v>
      </c>
      <c r="H6" s="14">
        <v>4100.0</v>
      </c>
      <c r="I6" s="123">
        <f>H6/G6-1</f>
        <v>-0.2979211617</v>
      </c>
      <c r="K6" s="57"/>
      <c r="Q6" s="58"/>
    </row>
    <row r="7">
      <c r="A7" s="10" t="s">
        <v>24</v>
      </c>
      <c r="B7" s="20">
        <f t="shared" ref="B7:D7" si="6">B20+B36+B52+B68+B82+B95+B108+B121</f>
        <v>18</v>
      </c>
      <c r="C7" s="20">
        <f t="shared" si="6"/>
        <v>31</v>
      </c>
      <c r="D7" s="20">
        <f t="shared" si="6"/>
        <v>26</v>
      </c>
      <c r="E7" s="20">
        <v>33.0</v>
      </c>
      <c r="F7" s="20">
        <v>7.0</v>
      </c>
      <c r="G7" s="22">
        <f>SUM(B7:F7)</f>
        <v>115</v>
      </c>
      <c r="H7" s="126">
        <f>H5*H9</f>
        <v>128.0487805</v>
      </c>
      <c r="I7" s="123">
        <f>G7/H7</f>
        <v>0.8980952381</v>
      </c>
      <c r="K7" s="57"/>
      <c r="Q7" s="58"/>
    </row>
    <row r="8">
      <c r="A8" s="10" t="s">
        <v>25</v>
      </c>
      <c r="B8" s="12">
        <f t="shared" ref="B8:H8" si="7">B4/B7</f>
        <v>116894.1667</v>
      </c>
      <c r="C8" s="12">
        <f t="shared" si="7"/>
        <v>49986.25806</v>
      </c>
      <c r="D8" s="12">
        <f t="shared" si="7"/>
        <v>44660.19231</v>
      </c>
      <c r="E8" s="12">
        <f t="shared" si="7"/>
        <v>41827.45455</v>
      </c>
      <c r="F8" s="12">
        <f t="shared" si="7"/>
        <v>78547</v>
      </c>
      <c r="G8" s="13">
        <f t="shared" si="7"/>
        <v>58651.90435</v>
      </c>
      <c r="H8" s="25">
        <f t="shared" si="7"/>
        <v>58571.42857</v>
      </c>
      <c r="I8" s="129"/>
      <c r="K8" s="57"/>
      <c r="Q8" s="58"/>
    </row>
    <row r="9">
      <c r="A9" s="10" t="s">
        <v>27</v>
      </c>
      <c r="B9" s="27">
        <f t="shared" ref="B9:G9" si="8">B7/B5</f>
        <v>0.07438016529</v>
      </c>
      <c r="C9" s="27">
        <f t="shared" si="8"/>
        <v>0.09253731343</v>
      </c>
      <c r="D9" s="27">
        <f t="shared" si="8"/>
        <v>0.1244019139</v>
      </c>
      <c r="E9" s="27">
        <f t="shared" si="8"/>
        <v>0.1226765799</v>
      </c>
      <c r="F9" s="27">
        <f t="shared" si="8"/>
        <v>0.07</v>
      </c>
      <c r="G9" s="28">
        <f t="shared" si="8"/>
        <v>0.09956709957</v>
      </c>
      <c r="H9" s="160">
        <v>0.07</v>
      </c>
      <c r="I9" s="129"/>
      <c r="K9" s="57"/>
      <c r="Q9" s="58"/>
    </row>
    <row r="10">
      <c r="A10" s="10" t="s">
        <v>28</v>
      </c>
      <c r="B10" s="20">
        <v>0.0</v>
      </c>
      <c r="C10" s="20">
        <v>0.0</v>
      </c>
      <c r="D10" s="20">
        <v>0.0</v>
      </c>
      <c r="E10" s="21"/>
      <c r="F10" s="21"/>
      <c r="G10" s="22"/>
      <c r="H10" s="31"/>
      <c r="I10" s="129"/>
      <c r="K10" s="57"/>
      <c r="Q10" s="58"/>
    </row>
    <row r="11">
      <c r="A11" s="10" t="s">
        <v>53</v>
      </c>
      <c r="B11" s="21"/>
      <c r="C11" s="21"/>
      <c r="D11" s="21"/>
      <c r="E11" s="21"/>
      <c r="F11" s="21"/>
      <c r="G11" s="22"/>
      <c r="H11" s="31"/>
      <c r="I11" s="129"/>
      <c r="K11" s="57"/>
      <c r="Q11" s="58"/>
    </row>
    <row r="12">
      <c r="A12" s="10" t="s">
        <v>32</v>
      </c>
      <c r="B12" s="21"/>
      <c r="C12" s="21"/>
      <c r="D12" s="21"/>
      <c r="E12" s="21"/>
      <c r="F12" s="21"/>
      <c r="G12" s="22"/>
      <c r="H12" s="31"/>
      <c r="I12" s="129"/>
      <c r="K12" s="81"/>
      <c r="L12" s="82"/>
      <c r="M12" s="82"/>
      <c r="N12" s="82"/>
      <c r="O12" s="82"/>
      <c r="P12" s="82"/>
      <c r="Q12" s="83"/>
    </row>
    <row r="14">
      <c r="A14" s="133" t="s">
        <v>54</v>
      </c>
    </row>
    <row r="15">
      <c r="A15" s="7" t="s">
        <v>3</v>
      </c>
      <c r="B15" s="8" t="s">
        <v>119</v>
      </c>
      <c r="C15" s="8" t="s">
        <v>120</v>
      </c>
      <c r="D15" s="8" t="s">
        <v>121</v>
      </c>
      <c r="E15" s="8" t="s">
        <v>122</v>
      </c>
      <c r="F15" s="8" t="s">
        <v>123</v>
      </c>
      <c r="G15" s="8" t="s">
        <v>43</v>
      </c>
      <c r="H15" s="9" t="s">
        <v>17</v>
      </c>
      <c r="K15" s="140" t="s">
        <v>125</v>
      </c>
      <c r="L15" s="49"/>
      <c r="M15" s="49"/>
      <c r="N15" s="49"/>
      <c r="O15" s="49"/>
      <c r="P15" s="49"/>
      <c r="Q15" s="50"/>
    </row>
    <row r="16">
      <c r="A16" s="10" t="s">
        <v>19</v>
      </c>
      <c r="B16" s="11">
        <v>463118.0</v>
      </c>
      <c r="C16" s="11">
        <v>251918.0</v>
      </c>
      <c r="D16" s="11">
        <v>152680.0</v>
      </c>
      <c r="E16" s="11">
        <v>167670.0</v>
      </c>
      <c r="F16" s="11">
        <v>73108.0</v>
      </c>
      <c r="G16" s="13">
        <f t="shared" ref="G16:G17" si="9">SUM(B16:F16)</f>
        <v>1108494</v>
      </c>
      <c r="H16" s="31"/>
      <c r="K16" s="57"/>
      <c r="Q16" s="58"/>
    </row>
    <row r="17">
      <c r="A17" s="10" t="s">
        <v>21</v>
      </c>
      <c r="B17" s="20">
        <f>26+6</f>
        <v>32</v>
      </c>
      <c r="C17" s="20">
        <v>23.0</v>
      </c>
      <c r="D17" s="20">
        <v>17.0</v>
      </c>
      <c r="E17" s="20">
        <v>17.0</v>
      </c>
      <c r="F17" s="20">
        <v>6.0</v>
      </c>
      <c r="G17" s="22">
        <f t="shared" si="9"/>
        <v>95</v>
      </c>
      <c r="H17" s="31"/>
      <c r="K17" s="57"/>
      <c r="Q17" s="58"/>
    </row>
    <row r="18">
      <c r="A18" s="10" t="s">
        <v>22</v>
      </c>
      <c r="B18" s="12">
        <f t="shared" ref="B18:G18" si="10">B16/B17</f>
        <v>14472.4375</v>
      </c>
      <c r="C18" s="12">
        <f t="shared" si="10"/>
        <v>10952.95652</v>
      </c>
      <c r="D18" s="12">
        <f t="shared" si="10"/>
        <v>8981.176471</v>
      </c>
      <c r="E18" s="12">
        <f t="shared" si="10"/>
        <v>9862.941176</v>
      </c>
      <c r="F18" s="12">
        <f t="shared" si="10"/>
        <v>12184.66667</v>
      </c>
      <c r="G18" s="13">
        <f t="shared" si="10"/>
        <v>11668.35789</v>
      </c>
      <c r="H18" s="31"/>
      <c r="K18" s="57"/>
      <c r="Q18" s="58"/>
    </row>
    <row r="19">
      <c r="A19" s="10" t="s">
        <v>23</v>
      </c>
      <c r="B19" s="20"/>
      <c r="C19" s="20"/>
      <c r="D19" s="20"/>
      <c r="E19" s="20"/>
      <c r="F19" s="20"/>
      <c r="G19" s="17">
        <f>G18/B1</f>
        <v>8.560790825</v>
      </c>
      <c r="H19" s="31"/>
      <c r="K19" s="57"/>
      <c r="Q19" s="58"/>
    </row>
    <row r="20">
      <c r="A20" s="10" t="s">
        <v>24</v>
      </c>
      <c r="B20" s="20">
        <v>2.0</v>
      </c>
      <c r="C20" s="20">
        <v>1.0</v>
      </c>
      <c r="D20" s="20">
        <v>2.0</v>
      </c>
      <c r="E20" s="20">
        <v>3.0</v>
      </c>
      <c r="F20" s="20">
        <v>0.0</v>
      </c>
      <c r="G20" s="22">
        <f>SUM(B20:D20)</f>
        <v>5</v>
      </c>
      <c r="H20" s="31"/>
      <c r="K20" s="57"/>
      <c r="Q20" s="58"/>
    </row>
    <row r="21">
      <c r="A21" s="10" t="s">
        <v>25</v>
      </c>
      <c r="B21" s="12">
        <f t="shared" ref="B21:G21" si="11">B16/B20</f>
        <v>231559</v>
      </c>
      <c r="C21" s="12">
        <f t="shared" si="11"/>
        <v>251918</v>
      </c>
      <c r="D21" s="12">
        <f t="shared" si="11"/>
        <v>76340</v>
      </c>
      <c r="E21" s="12">
        <f t="shared" si="11"/>
        <v>55890</v>
      </c>
      <c r="F21" s="21" t="str">
        <f t="shared" si="11"/>
        <v>#DIV/0!</v>
      </c>
      <c r="G21" s="13">
        <f t="shared" si="11"/>
        <v>221698.8</v>
      </c>
      <c r="H21" s="31"/>
      <c r="K21" s="57"/>
      <c r="Q21" s="58"/>
    </row>
    <row r="22">
      <c r="A22" s="10" t="s">
        <v>126</v>
      </c>
      <c r="B22" s="27"/>
      <c r="C22" s="27"/>
      <c r="D22" s="27"/>
      <c r="E22" s="27"/>
      <c r="F22" s="27"/>
      <c r="G22" s="17">
        <f>G21/B1</f>
        <v>162.6550257</v>
      </c>
      <c r="H22" s="31"/>
      <c r="K22" s="57"/>
      <c r="Q22" s="58"/>
    </row>
    <row r="23">
      <c r="A23" s="10" t="s">
        <v>27</v>
      </c>
      <c r="B23" s="27">
        <f t="shared" ref="B23:G23" si="12">B20/B17</f>
        <v>0.0625</v>
      </c>
      <c r="C23" s="27">
        <f t="shared" si="12"/>
        <v>0.04347826087</v>
      </c>
      <c r="D23" s="27">
        <f t="shared" si="12"/>
        <v>0.1176470588</v>
      </c>
      <c r="E23" s="27">
        <f t="shared" si="12"/>
        <v>0.1764705882</v>
      </c>
      <c r="F23" s="27">
        <f t="shared" si="12"/>
        <v>0</v>
      </c>
      <c r="G23" s="28">
        <f t="shared" si="12"/>
        <v>0.05263157895</v>
      </c>
      <c r="H23" s="31"/>
      <c r="K23" s="57"/>
      <c r="Q23" s="58"/>
    </row>
    <row r="24">
      <c r="A24" s="10" t="s">
        <v>28</v>
      </c>
      <c r="B24" s="20">
        <v>0.0</v>
      </c>
      <c r="C24" s="20">
        <v>0.0</v>
      </c>
      <c r="D24" s="20">
        <v>0.0</v>
      </c>
      <c r="E24" s="21"/>
      <c r="F24" s="21"/>
      <c r="G24" s="22">
        <f>SUM(B24:D24)</f>
        <v>0</v>
      </c>
      <c r="H24" s="31"/>
      <c r="K24" s="57"/>
      <c r="Q24" s="58"/>
    </row>
    <row r="25">
      <c r="A25" s="10" t="s">
        <v>29</v>
      </c>
      <c r="B25" s="21"/>
      <c r="C25" s="21"/>
      <c r="D25" s="21"/>
      <c r="E25" s="21"/>
      <c r="F25" s="21"/>
      <c r="G25" s="22" t="str">
        <f>G16/G24</f>
        <v>#DIV/0!</v>
      </c>
      <c r="H25" s="31"/>
      <c r="K25" s="57"/>
      <c r="Q25" s="58"/>
    </row>
    <row r="26">
      <c r="A26" s="10" t="s">
        <v>30</v>
      </c>
      <c r="B26" s="21"/>
      <c r="C26" s="21"/>
      <c r="D26" s="21"/>
      <c r="E26" s="21"/>
      <c r="F26" s="21"/>
      <c r="G26" s="22"/>
      <c r="H26" s="31"/>
      <c r="K26" s="57"/>
      <c r="Q26" s="58"/>
    </row>
    <row r="27">
      <c r="A27" s="10" t="s">
        <v>32</v>
      </c>
      <c r="B27" s="21"/>
      <c r="C27" s="21"/>
      <c r="D27" s="21"/>
      <c r="E27" s="21"/>
      <c r="F27" s="21"/>
      <c r="G27" s="22"/>
      <c r="H27" s="31"/>
      <c r="K27" s="81"/>
      <c r="L27" s="82"/>
      <c r="M27" s="82"/>
      <c r="N27" s="82"/>
      <c r="O27" s="82"/>
      <c r="P27" s="82"/>
      <c r="Q27" s="83"/>
    </row>
    <row r="30">
      <c r="A30" s="139" t="s">
        <v>55</v>
      </c>
    </row>
    <row r="31">
      <c r="A31" s="7" t="s">
        <v>3</v>
      </c>
      <c r="B31" s="8" t="s">
        <v>119</v>
      </c>
      <c r="C31" s="8" t="s">
        <v>120</v>
      </c>
      <c r="D31" s="8" t="s">
        <v>121</v>
      </c>
      <c r="E31" s="8" t="s">
        <v>122</v>
      </c>
      <c r="F31" s="8" t="s">
        <v>123</v>
      </c>
      <c r="G31" s="8" t="s">
        <v>43</v>
      </c>
      <c r="H31" s="9" t="s">
        <v>17</v>
      </c>
      <c r="K31" s="140" t="s">
        <v>127</v>
      </c>
      <c r="L31" s="49"/>
      <c r="M31" s="49"/>
      <c r="N31" s="49"/>
      <c r="O31" s="49"/>
      <c r="P31" s="49"/>
      <c r="Q31" s="50"/>
    </row>
    <row r="32">
      <c r="A32" s="10" t="s">
        <v>19</v>
      </c>
      <c r="B32" s="11">
        <v>828255.0</v>
      </c>
      <c r="C32" s="11">
        <v>664512.0</v>
      </c>
      <c r="D32" s="11">
        <v>512688.0</v>
      </c>
      <c r="E32" s="11">
        <v>562309.0</v>
      </c>
      <c r="F32" s="11">
        <v>236921.0</v>
      </c>
      <c r="G32" s="13">
        <f t="shared" ref="G32:G33" si="13">SUM(B32:F32)</f>
        <v>2804685</v>
      </c>
      <c r="H32" s="31"/>
      <c r="K32" s="57"/>
      <c r="Q32" s="58"/>
    </row>
    <row r="33">
      <c r="A33" s="10" t="s">
        <v>21</v>
      </c>
      <c r="B33" s="20">
        <v>99.0</v>
      </c>
      <c r="C33" s="20">
        <v>122.0</v>
      </c>
      <c r="D33" s="20">
        <v>64.0</v>
      </c>
      <c r="E33" s="20">
        <v>77.0</v>
      </c>
      <c r="F33" s="11">
        <v>24.0</v>
      </c>
      <c r="G33" s="22">
        <f t="shared" si="13"/>
        <v>386</v>
      </c>
      <c r="H33" s="31"/>
      <c r="K33" s="57"/>
      <c r="Q33" s="58"/>
    </row>
    <row r="34">
      <c r="A34" s="10" t="s">
        <v>22</v>
      </c>
      <c r="B34" s="12">
        <f t="shared" ref="B34:G34" si="14">B32/B33</f>
        <v>8366.212121</v>
      </c>
      <c r="C34" s="12">
        <f t="shared" si="14"/>
        <v>5446.819672</v>
      </c>
      <c r="D34" s="12">
        <f t="shared" si="14"/>
        <v>8010.75</v>
      </c>
      <c r="E34" s="12">
        <f t="shared" si="14"/>
        <v>7302.714286</v>
      </c>
      <c r="F34" s="12">
        <f t="shared" si="14"/>
        <v>9871.708333</v>
      </c>
      <c r="G34" s="13">
        <f t="shared" si="14"/>
        <v>7266.023316</v>
      </c>
      <c r="H34" s="31"/>
      <c r="K34" s="57"/>
      <c r="Q34" s="58"/>
    </row>
    <row r="35">
      <c r="A35" s="10" t="s">
        <v>23</v>
      </c>
      <c r="B35" s="20"/>
      <c r="C35" s="20"/>
      <c r="D35" s="20"/>
      <c r="E35" s="20"/>
      <c r="F35" s="20"/>
      <c r="G35" s="17">
        <f>G34/B1</f>
        <v>5.330904854</v>
      </c>
      <c r="H35" s="31"/>
      <c r="K35" s="57"/>
      <c r="Q35" s="58"/>
    </row>
    <row r="36">
      <c r="A36" s="10" t="s">
        <v>24</v>
      </c>
      <c r="B36" s="20">
        <v>7.0</v>
      </c>
      <c r="C36" s="20">
        <v>6.0</v>
      </c>
      <c r="D36" s="20">
        <v>3.0</v>
      </c>
      <c r="E36" s="20">
        <v>5.0</v>
      </c>
      <c r="F36" s="20">
        <v>2.0</v>
      </c>
      <c r="G36" s="22">
        <f>SUM(B36:D36)</f>
        <v>16</v>
      </c>
      <c r="H36" s="31"/>
      <c r="K36" s="57"/>
      <c r="Q36" s="58"/>
    </row>
    <row r="37">
      <c r="A37" s="10" t="s">
        <v>25</v>
      </c>
      <c r="B37" s="12">
        <f t="shared" ref="B37:E37" si="15">B32/B36</f>
        <v>118322.1429</v>
      </c>
      <c r="C37" s="12">
        <f t="shared" si="15"/>
        <v>110752</v>
      </c>
      <c r="D37" s="12">
        <f t="shared" si="15"/>
        <v>170896</v>
      </c>
      <c r="E37" s="12">
        <f t="shared" si="15"/>
        <v>112461.8</v>
      </c>
      <c r="F37" s="21"/>
      <c r="G37" s="13">
        <f>G32/G36</f>
        <v>175292.8125</v>
      </c>
      <c r="H37" s="31"/>
      <c r="K37" s="57"/>
      <c r="Q37" s="58"/>
    </row>
    <row r="38">
      <c r="A38" s="10" t="s">
        <v>26</v>
      </c>
      <c r="B38" s="27"/>
      <c r="C38" s="27"/>
      <c r="D38" s="27"/>
      <c r="E38" s="27"/>
      <c r="F38" s="21"/>
      <c r="G38" s="17">
        <f>G37/B1</f>
        <v>128.6080796</v>
      </c>
      <c r="H38" s="31"/>
      <c r="K38" s="57"/>
      <c r="Q38" s="58"/>
    </row>
    <row r="39">
      <c r="A39" s="10" t="s">
        <v>27</v>
      </c>
      <c r="B39" s="27">
        <f t="shared" ref="B39:E39" si="16">B36/B33</f>
        <v>0.07070707071</v>
      </c>
      <c r="C39" s="27">
        <f t="shared" si="16"/>
        <v>0.04918032787</v>
      </c>
      <c r="D39" s="27">
        <f t="shared" si="16"/>
        <v>0.046875</v>
      </c>
      <c r="E39" s="27">
        <f t="shared" si="16"/>
        <v>0.06493506494</v>
      </c>
      <c r="F39" s="21"/>
      <c r="G39" s="28">
        <f>G36/G33</f>
        <v>0.0414507772</v>
      </c>
      <c r="H39" s="31"/>
      <c r="K39" s="57"/>
      <c r="Q39" s="58"/>
    </row>
    <row r="40">
      <c r="A40" s="10" t="s">
        <v>28</v>
      </c>
      <c r="B40" s="20">
        <v>0.0</v>
      </c>
      <c r="C40" s="20">
        <v>0.0</v>
      </c>
      <c r="D40" s="20">
        <v>0.0</v>
      </c>
      <c r="E40" s="20"/>
      <c r="F40" s="21"/>
      <c r="G40" s="32">
        <v>1.0</v>
      </c>
      <c r="H40" s="31"/>
      <c r="K40" s="57"/>
      <c r="Q40" s="58"/>
    </row>
    <row r="41">
      <c r="A41" s="10" t="s">
        <v>29</v>
      </c>
      <c r="B41" s="21"/>
      <c r="C41" s="21"/>
      <c r="D41" s="21"/>
      <c r="E41" s="21"/>
      <c r="F41" s="21"/>
      <c r="G41" s="13">
        <f>G32/G40</f>
        <v>2804685</v>
      </c>
      <c r="H41" s="31"/>
      <c r="K41" s="57"/>
      <c r="Q41" s="58"/>
    </row>
    <row r="42">
      <c r="A42" s="10" t="s">
        <v>30</v>
      </c>
      <c r="B42" s="21"/>
      <c r="C42" s="21"/>
      <c r="D42" s="21"/>
      <c r="E42" s="21"/>
      <c r="F42" s="21"/>
      <c r="G42" s="17">
        <f>G41/B1</f>
        <v>2057.729274</v>
      </c>
      <c r="H42" s="31"/>
      <c r="K42" s="57"/>
      <c r="Q42" s="58"/>
    </row>
    <row r="43">
      <c r="A43" s="10" t="s">
        <v>32</v>
      </c>
      <c r="B43" s="21"/>
      <c r="C43" s="21"/>
      <c r="D43" s="21"/>
      <c r="E43" s="21"/>
      <c r="F43" s="21"/>
      <c r="G43" s="22"/>
      <c r="H43" s="31"/>
      <c r="K43" s="81"/>
      <c r="L43" s="82"/>
      <c r="M43" s="82"/>
      <c r="N43" s="82"/>
      <c r="O43" s="82"/>
      <c r="P43" s="82"/>
      <c r="Q43" s="83"/>
    </row>
    <row r="46">
      <c r="A46" s="141" t="s">
        <v>56</v>
      </c>
    </row>
    <row r="47">
      <c r="A47" s="7" t="s">
        <v>3</v>
      </c>
      <c r="B47" s="8" t="s">
        <v>119</v>
      </c>
      <c r="C47" s="8" t="s">
        <v>120</v>
      </c>
      <c r="D47" s="8" t="s">
        <v>121</v>
      </c>
      <c r="E47" s="8" t="s">
        <v>122</v>
      </c>
      <c r="F47" s="8" t="s">
        <v>123</v>
      </c>
      <c r="G47" s="8" t="s">
        <v>43</v>
      </c>
      <c r="H47" s="9" t="s">
        <v>17</v>
      </c>
      <c r="K47" s="161" t="s">
        <v>128</v>
      </c>
      <c r="L47" s="49"/>
      <c r="M47" s="49"/>
      <c r="N47" s="49"/>
      <c r="O47" s="49"/>
      <c r="P47" s="49"/>
      <c r="Q47" s="50"/>
    </row>
    <row r="48">
      <c r="A48" s="10" t="s">
        <v>19</v>
      </c>
      <c r="B48" s="11">
        <v>557696.0</v>
      </c>
      <c r="C48" s="11">
        <v>456938.0</v>
      </c>
      <c r="D48" s="11">
        <v>320535.0</v>
      </c>
      <c r="E48" s="11">
        <v>320535.0</v>
      </c>
      <c r="F48" s="11">
        <v>152028.0</v>
      </c>
      <c r="G48" s="13">
        <f t="shared" ref="G48:G49" si="17">SUM(B48:F48)</f>
        <v>1807732</v>
      </c>
      <c r="H48" s="31"/>
      <c r="K48" s="57"/>
      <c r="Q48" s="58"/>
    </row>
    <row r="49">
      <c r="A49" s="10" t="s">
        <v>21</v>
      </c>
      <c r="B49" s="20">
        <v>89.0</v>
      </c>
      <c r="C49" s="20">
        <v>143.0</v>
      </c>
      <c r="D49" s="20">
        <v>85.0</v>
      </c>
      <c r="E49" s="20">
        <v>86.0</v>
      </c>
      <c r="F49" s="20">
        <v>34.0</v>
      </c>
      <c r="G49" s="22">
        <f t="shared" si="17"/>
        <v>437</v>
      </c>
      <c r="H49" s="31"/>
      <c r="K49" s="57"/>
      <c r="Q49" s="58"/>
    </row>
    <row r="50">
      <c r="A50" s="10" t="s">
        <v>22</v>
      </c>
      <c r="B50" s="12">
        <f t="shared" ref="B50:G50" si="18">B48/B49</f>
        <v>6266.247191</v>
      </c>
      <c r="C50" s="12">
        <f t="shared" si="18"/>
        <v>3195.370629</v>
      </c>
      <c r="D50" s="12">
        <f t="shared" si="18"/>
        <v>3771</v>
      </c>
      <c r="E50" s="12">
        <f t="shared" si="18"/>
        <v>3727.151163</v>
      </c>
      <c r="F50" s="12">
        <f t="shared" si="18"/>
        <v>4471.411765</v>
      </c>
      <c r="G50" s="13">
        <f t="shared" si="18"/>
        <v>4136.686499</v>
      </c>
      <c r="H50" s="31"/>
      <c r="K50" s="57"/>
      <c r="Q50" s="58"/>
    </row>
    <row r="51">
      <c r="A51" s="10" t="s">
        <v>23</v>
      </c>
      <c r="B51" s="20"/>
      <c r="C51" s="20"/>
      <c r="D51" s="20"/>
      <c r="E51" s="20"/>
      <c r="F51" s="20"/>
      <c r="G51" s="17">
        <f>G50/B1</f>
        <v>3.034986426</v>
      </c>
      <c r="H51" s="31"/>
      <c r="K51" s="57"/>
      <c r="Q51" s="58"/>
    </row>
    <row r="52">
      <c r="A52" s="10" t="s">
        <v>24</v>
      </c>
      <c r="B52" s="20">
        <v>4.0</v>
      </c>
      <c r="C52" s="20">
        <v>14.0</v>
      </c>
      <c r="D52" s="20">
        <v>11.0</v>
      </c>
      <c r="E52" s="20">
        <v>7.0</v>
      </c>
      <c r="F52" s="20">
        <v>1.0</v>
      </c>
      <c r="G52" s="22">
        <f>SUM(B52:D52)</f>
        <v>29</v>
      </c>
      <c r="H52" s="31"/>
      <c r="K52" s="57"/>
      <c r="Q52" s="58"/>
    </row>
    <row r="53">
      <c r="A53" s="10" t="s">
        <v>25</v>
      </c>
      <c r="B53" s="12">
        <f t="shared" ref="B53:G53" si="19">B48/B52</f>
        <v>139424</v>
      </c>
      <c r="C53" s="12">
        <f t="shared" si="19"/>
        <v>32638.42857</v>
      </c>
      <c r="D53" s="12">
        <f t="shared" si="19"/>
        <v>29139.54545</v>
      </c>
      <c r="E53" s="12">
        <f t="shared" si="19"/>
        <v>45790.71429</v>
      </c>
      <c r="F53" s="12">
        <f t="shared" si="19"/>
        <v>152028</v>
      </c>
      <c r="G53" s="13">
        <f t="shared" si="19"/>
        <v>62335.58621</v>
      </c>
      <c r="H53" s="31"/>
      <c r="K53" s="57"/>
      <c r="Q53" s="58"/>
    </row>
    <row r="54">
      <c r="A54" s="10" t="s">
        <v>26</v>
      </c>
      <c r="B54" s="27"/>
      <c r="C54" s="27"/>
      <c r="D54" s="27"/>
      <c r="E54" s="27"/>
      <c r="F54" s="27"/>
      <c r="G54" s="17">
        <f>G53/B1</f>
        <v>45.7341058</v>
      </c>
      <c r="H54" s="31"/>
      <c r="K54" s="57"/>
      <c r="Q54" s="58"/>
    </row>
    <row r="55">
      <c r="A55" s="10" t="s">
        <v>27</v>
      </c>
      <c r="B55" s="27">
        <f t="shared" ref="B55:G55" si="20">B52/B49</f>
        <v>0.04494382022</v>
      </c>
      <c r="C55" s="27">
        <f t="shared" si="20"/>
        <v>0.0979020979</v>
      </c>
      <c r="D55" s="27">
        <f t="shared" si="20"/>
        <v>0.1294117647</v>
      </c>
      <c r="E55" s="27">
        <f t="shared" si="20"/>
        <v>0.08139534884</v>
      </c>
      <c r="F55" s="27">
        <f t="shared" si="20"/>
        <v>0.02941176471</v>
      </c>
      <c r="G55" s="28">
        <f t="shared" si="20"/>
        <v>0.06636155606</v>
      </c>
      <c r="H55" s="31"/>
      <c r="K55" s="57"/>
      <c r="Q55" s="58"/>
    </row>
    <row r="56">
      <c r="A56" s="10" t="s">
        <v>28</v>
      </c>
      <c r="B56" s="20">
        <v>0.0</v>
      </c>
      <c r="C56" s="20">
        <v>0.0</v>
      </c>
      <c r="D56" s="20">
        <v>0.0</v>
      </c>
      <c r="E56" s="21"/>
      <c r="F56" s="21"/>
      <c r="G56" s="32">
        <v>3.0</v>
      </c>
      <c r="H56" s="31"/>
      <c r="K56" s="57"/>
      <c r="Q56" s="58"/>
    </row>
    <row r="57">
      <c r="A57" s="10" t="s">
        <v>29</v>
      </c>
      <c r="B57" s="21"/>
      <c r="C57" s="21"/>
      <c r="D57" s="21"/>
      <c r="E57" s="21"/>
      <c r="F57" s="21"/>
      <c r="G57" s="13">
        <f>G48/G56</f>
        <v>602577.3333</v>
      </c>
      <c r="H57" s="31"/>
      <c r="K57" s="57"/>
      <c r="Q57" s="58"/>
    </row>
    <row r="58">
      <c r="A58" s="10" t="s">
        <v>30</v>
      </c>
      <c r="B58" s="21"/>
      <c r="C58" s="21"/>
      <c r="D58" s="21"/>
      <c r="E58" s="21"/>
      <c r="F58" s="21"/>
      <c r="G58" s="17">
        <f>G57/B1</f>
        <v>442.0963561</v>
      </c>
      <c r="H58" s="31"/>
      <c r="K58" s="57"/>
      <c r="Q58" s="58"/>
    </row>
    <row r="59">
      <c r="A59" s="10" t="s">
        <v>32</v>
      </c>
      <c r="B59" s="21"/>
      <c r="C59" s="21"/>
      <c r="D59" s="21"/>
      <c r="E59" s="21"/>
      <c r="F59" s="21"/>
      <c r="G59" s="22"/>
      <c r="H59" s="31"/>
      <c r="K59" s="81"/>
      <c r="L59" s="82"/>
      <c r="M59" s="82"/>
      <c r="N59" s="82"/>
      <c r="O59" s="82"/>
      <c r="P59" s="82"/>
      <c r="Q59" s="83"/>
    </row>
    <row r="62">
      <c r="A62" s="142" t="s">
        <v>57</v>
      </c>
    </row>
    <row r="63">
      <c r="A63" s="7" t="s">
        <v>3</v>
      </c>
      <c r="B63" s="8" t="s">
        <v>119</v>
      </c>
      <c r="C63" s="8" t="s">
        <v>120</v>
      </c>
      <c r="D63" s="8" t="s">
        <v>121</v>
      </c>
      <c r="E63" s="8" t="s">
        <v>122</v>
      </c>
      <c r="F63" s="8" t="s">
        <v>123</v>
      </c>
      <c r="G63" s="8" t="s">
        <v>43</v>
      </c>
      <c r="H63" s="9" t="s">
        <v>17</v>
      </c>
    </row>
    <row r="64">
      <c r="A64" s="10" t="s">
        <v>19</v>
      </c>
      <c r="B64" s="11">
        <v>21231.0</v>
      </c>
      <c r="C64" s="11">
        <v>20407.0</v>
      </c>
      <c r="D64" s="11">
        <v>19666.0</v>
      </c>
      <c r="E64" s="11">
        <v>21196.0</v>
      </c>
      <c r="F64" s="11">
        <v>8999.0</v>
      </c>
      <c r="G64" s="13">
        <f t="shared" ref="G64:G65" si="21">SUM(B64:F64)</f>
        <v>91499</v>
      </c>
      <c r="H64" s="31"/>
    </row>
    <row r="65">
      <c r="A65" s="10" t="s">
        <v>21</v>
      </c>
      <c r="B65" s="20">
        <v>0.0</v>
      </c>
      <c r="C65" s="20">
        <v>16.0</v>
      </c>
      <c r="D65" s="20">
        <v>16.0</v>
      </c>
      <c r="E65" s="20">
        <v>16.0</v>
      </c>
      <c r="F65" s="20">
        <v>5.0</v>
      </c>
      <c r="G65" s="22">
        <f t="shared" si="21"/>
        <v>53</v>
      </c>
      <c r="H65" s="31"/>
    </row>
    <row r="66">
      <c r="A66" s="10" t="s">
        <v>22</v>
      </c>
      <c r="B66" s="21" t="str">
        <f t="shared" ref="B66:G66" si="22">B64/B65</f>
        <v>#DIV/0!</v>
      </c>
      <c r="C66" s="12">
        <f t="shared" si="22"/>
        <v>1275.4375</v>
      </c>
      <c r="D66" s="12">
        <f t="shared" si="22"/>
        <v>1229.125</v>
      </c>
      <c r="E66" s="12">
        <f t="shared" si="22"/>
        <v>1324.75</v>
      </c>
      <c r="F66" s="12">
        <f t="shared" si="22"/>
        <v>1799.8</v>
      </c>
      <c r="G66" s="13">
        <f t="shared" si="22"/>
        <v>1726.396226</v>
      </c>
      <c r="H66" s="31"/>
    </row>
    <row r="67">
      <c r="A67" s="10" t="s">
        <v>23</v>
      </c>
      <c r="B67" s="20"/>
      <c r="C67" s="20"/>
      <c r="D67" s="20"/>
      <c r="E67" s="20"/>
      <c r="F67" s="20"/>
      <c r="G67" s="22"/>
      <c r="H67" s="31"/>
    </row>
    <row r="68">
      <c r="A68" s="10" t="s">
        <v>24</v>
      </c>
      <c r="B68" s="20">
        <v>0.0</v>
      </c>
      <c r="C68" s="20">
        <v>2.0</v>
      </c>
      <c r="D68" s="20">
        <v>1.0</v>
      </c>
      <c r="E68" s="20">
        <v>3.0</v>
      </c>
      <c r="F68" s="20">
        <v>0.0</v>
      </c>
      <c r="G68" s="22">
        <f>SUM(B68:F68)</f>
        <v>6</v>
      </c>
      <c r="H68" s="31"/>
    </row>
    <row r="69">
      <c r="A69" s="10" t="s">
        <v>25</v>
      </c>
      <c r="B69" s="21" t="str">
        <f t="shared" ref="B69:G69" si="23">B64/B68</f>
        <v>#DIV/0!</v>
      </c>
      <c r="C69" s="12">
        <f t="shared" si="23"/>
        <v>10203.5</v>
      </c>
      <c r="D69" s="12">
        <f t="shared" si="23"/>
        <v>19666</v>
      </c>
      <c r="E69" s="12">
        <f t="shared" si="23"/>
        <v>7065.333333</v>
      </c>
      <c r="F69" s="21" t="str">
        <f t="shared" si="23"/>
        <v>#DIV/0!</v>
      </c>
      <c r="G69" s="13">
        <f t="shared" si="23"/>
        <v>15249.83333</v>
      </c>
      <c r="H69" s="31"/>
    </row>
    <row r="70">
      <c r="A70" s="10" t="s">
        <v>26</v>
      </c>
      <c r="B70" s="27"/>
      <c r="C70" s="27"/>
      <c r="D70" s="27"/>
      <c r="E70" s="27"/>
      <c r="F70" s="27"/>
      <c r="G70" s="28"/>
      <c r="H70" s="31"/>
    </row>
    <row r="71">
      <c r="A71" s="10" t="s">
        <v>27</v>
      </c>
      <c r="B71" s="27" t="str">
        <f t="shared" ref="B71:G71" si="24">B68/B65</f>
        <v>#DIV/0!</v>
      </c>
      <c r="C71" s="27">
        <f t="shared" si="24"/>
        <v>0.125</v>
      </c>
      <c r="D71" s="27">
        <f t="shared" si="24"/>
        <v>0.0625</v>
      </c>
      <c r="E71" s="27">
        <f t="shared" si="24"/>
        <v>0.1875</v>
      </c>
      <c r="F71" s="27">
        <f t="shared" si="24"/>
        <v>0</v>
      </c>
      <c r="G71" s="28">
        <f t="shared" si="24"/>
        <v>0.1132075472</v>
      </c>
      <c r="H71" s="31"/>
    </row>
    <row r="72">
      <c r="A72" s="10" t="s">
        <v>28</v>
      </c>
      <c r="B72" s="20">
        <v>0.0</v>
      </c>
      <c r="C72" s="20">
        <v>0.0</v>
      </c>
      <c r="D72" s="20">
        <v>0.0</v>
      </c>
      <c r="E72" s="21"/>
      <c r="F72" s="21"/>
      <c r="G72" s="22">
        <f>SUM(B72:D72)</f>
        <v>0</v>
      </c>
      <c r="H72" s="31"/>
    </row>
    <row r="73">
      <c r="A73" s="10" t="s">
        <v>29</v>
      </c>
      <c r="B73" s="21"/>
      <c r="C73" s="21"/>
      <c r="D73" s="21"/>
      <c r="E73" s="21"/>
      <c r="F73" s="21"/>
      <c r="G73" s="22"/>
      <c r="H73" s="31"/>
    </row>
    <row r="74">
      <c r="A74" s="10" t="s">
        <v>30</v>
      </c>
      <c r="B74" s="21"/>
      <c r="C74" s="21"/>
      <c r="D74" s="21"/>
      <c r="E74" s="21"/>
      <c r="F74" s="21"/>
      <c r="G74" s="22"/>
      <c r="H74" s="31"/>
    </row>
    <row r="75">
      <c r="A75" s="10" t="s">
        <v>32</v>
      </c>
      <c r="B75" s="21"/>
      <c r="C75" s="21"/>
      <c r="D75" s="21"/>
      <c r="E75" s="21"/>
      <c r="F75" s="21"/>
      <c r="G75" s="22"/>
      <c r="H75" s="31"/>
    </row>
    <row r="77">
      <c r="A77" s="154" t="s">
        <v>59</v>
      </c>
    </row>
    <row r="78">
      <c r="A78" s="7" t="s">
        <v>3</v>
      </c>
      <c r="B78" s="8" t="s">
        <v>119</v>
      </c>
      <c r="C78" s="8" t="s">
        <v>120</v>
      </c>
      <c r="D78" s="8" t="s">
        <v>121</v>
      </c>
      <c r="E78" s="8" t="s">
        <v>122</v>
      </c>
      <c r="F78" s="8" t="s">
        <v>123</v>
      </c>
      <c r="G78" s="8" t="s">
        <v>43</v>
      </c>
      <c r="H78" s="9" t="s">
        <v>17</v>
      </c>
    </row>
    <row r="79">
      <c r="A79" s="10" t="s">
        <v>19</v>
      </c>
      <c r="B79" s="11">
        <v>95073.0</v>
      </c>
      <c r="C79" s="11">
        <v>71125.0</v>
      </c>
      <c r="D79" s="11">
        <v>64160.0</v>
      </c>
      <c r="E79" s="11">
        <v>69545.0</v>
      </c>
      <c r="F79" s="11">
        <v>31705.0</v>
      </c>
      <c r="G79" s="13">
        <f t="shared" ref="G79:G80" si="25">SUM(B79:F79)</f>
        <v>331608</v>
      </c>
      <c r="H79" s="31"/>
    </row>
    <row r="80">
      <c r="A80" s="10" t="s">
        <v>21</v>
      </c>
      <c r="B80" s="20">
        <v>11.0</v>
      </c>
      <c r="C80" s="20">
        <v>21.0</v>
      </c>
      <c r="D80" s="20">
        <v>13.0</v>
      </c>
      <c r="E80" s="20">
        <v>12.0</v>
      </c>
      <c r="F80" s="20">
        <v>7.0</v>
      </c>
      <c r="G80" s="22">
        <f t="shared" si="25"/>
        <v>64</v>
      </c>
      <c r="H80" s="31"/>
    </row>
    <row r="81">
      <c r="A81" s="10" t="s">
        <v>22</v>
      </c>
      <c r="B81" s="12">
        <f t="shared" ref="B81:G81" si="26">B79/B80</f>
        <v>8643</v>
      </c>
      <c r="C81" s="12">
        <f t="shared" si="26"/>
        <v>3386.904762</v>
      </c>
      <c r="D81" s="12">
        <f t="shared" si="26"/>
        <v>4935.384615</v>
      </c>
      <c r="E81" s="12">
        <f t="shared" si="26"/>
        <v>5795.416667</v>
      </c>
      <c r="F81" s="12">
        <f t="shared" si="26"/>
        <v>4529.285714</v>
      </c>
      <c r="G81" s="13">
        <f t="shared" si="26"/>
        <v>5181.375</v>
      </c>
      <c r="H81" s="31"/>
    </row>
    <row r="82">
      <c r="A82" s="10" t="s">
        <v>24</v>
      </c>
      <c r="B82" s="20">
        <v>0.0</v>
      </c>
      <c r="C82" s="20">
        <v>0.0</v>
      </c>
      <c r="D82" s="20">
        <v>1.0</v>
      </c>
      <c r="E82" s="20">
        <v>1.0</v>
      </c>
      <c r="F82" s="20">
        <v>0.0</v>
      </c>
      <c r="G82" s="22">
        <f>SUM(B82:D82)</f>
        <v>1</v>
      </c>
      <c r="H82" s="31"/>
    </row>
    <row r="83">
      <c r="A83" s="10" t="s">
        <v>25</v>
      </c>
      <c r="B83" s="21" t="str">
        <f t="shared" ref="B83:G83" si="27">B79/B82</f>
        <v>#DIV/0!</v>
      </c>
      <c r="C83" s="21" t="str">
        <f t="shared" si="27"/>
        <v>#DIV/0!</v>
      </c>
      <c r="D83" s="12">
        <f t="shared" si="27"/>
        <v>64160</v>
      </c>
      <c r="E83" s="12">
        <f t="shared" si="27"/>
        <v>69545</v>
      </c>
      <c r="F83" s="21" t="str">
        <f t="shared" si="27"/>
        <v>#DIV/0!</v>
      </c>
      <c r="G83" s="13">
        <f t="shared" si="27"/>
        <v>331608</v>
      </c>
      <c r="H83" s="31"/>
    </row>
    <row r="84">
      <c r="A84" s="10" t="s">
        <v>27</v>
      </c>
      <c r="B84" s="27">
        <f t="shared" ref="B84:G84" si="28">B82/B80</f>
        <v>0</v>
      </c>
      <c r="C84" s="27">
        <f t="shared" si="28"/>
        <v>0</v>
      </c>
      <c r="D84" s="27">
        <f t="shared" si="28"/>
        <v>0.07692307692</v>
      </c>
      <c r="E84" s="27">
        <f t="shared" si="28"/>
        <v>0.08333333333</v>
      </c>
      <c r="F84" s="27">
        <f t="shared" si="28"/>
        <v>0</v>
      </c>
      <c r="G84" s="28">
        <f t="shared" si="28"/>
        <v>0.015625</v>
      </c>
      <c r="H84" s="31"/>
    </row>
    <row r="85">
      <c r="A85" s="10" t="s">
        <v>28</v>
      </c>
      <c r="B85" s="20">
        <v>0.0</v>
      </c>
      <c r="C85" s="20">
        <v>0.0</v>
      </c>
      <c r="D85" s="20">
        <v>0.0</v>
      </c>
      <c r="E85" s="21"/>
      <c r="F85" s="21"/>
      <c r="G85" s="22">
        <f>SUM(B85:D85)</f>
        <v>0</v>
      </c>
      <c r="H85" s="31"/>
    </row>
    <row r="86">
      <c r="A86" s="10" t="s">
        <v>29</v>
      </c>
      <c r="B86" s="21"/>
      <c r="C86" s="21"/>
      <c r="D86" s="21"/>
      <c r="E86" s="21"/>
      <c r="F86" s="21"/>
      <c r="G86" s="22"/>
      <c r="H86" s="31"/>
    </row>
    <row r="87">
      <c r="A87" s="10" t="s">
        <v>32</v>
      </c>
      <c r="B87" s="21"/>
      <c r="C87" s="21"/>
      <c r="D87" s="21"/>
      <c r="E87" s="21"/>
      <c r="F87" s="21"/>
      <c r="G87" s="22"/>
      <c r="H87" s="31"/>
    </row>
    <row r="90">
      <c r="A90" s="142" t="s">
        <v>58</v>
      </c>
    </row>
    <row r="91">
      <c r="A91" s="7" t="s">
        <v>3</v>
      </c>
      <c r="B91" s="8" t="s">
        <v>119</v>
      </c>
      <c r="C91" s="8" t="s">
        <v>120</v>
      </c>
      <c r="D91" s="8" t="s">
        <v>121</v>
      </c>
      <c r="E91" s="8" t="s">
        <v>122</v>
      </c>
      <c r="F91" s="8" t="s">
        <v>123</v>
      </c>
      <c r="G91" s="8" t="s">
        <v>43</v>
      </c>
      <c r="H91" s="9" t="s">
        <v>17</v>
      </c>
    </row>
    <row r="92">
      <c r="A92" s="10" t="s">
        <v>19</v>
      </c>
      <c r="B92" s="11">
        <v>56083.0</v>
      </c>
      <c r="C92" s="11">
        <v>26202.0</v>
      </c>
      <c r="D92" s="11">
        <v>14136.0</v>
      </c>
      <c r="E92" s="11">
        <v>13507.0</v>
      </c>
      <c r="F92" s="11">
        <v>5868.0</v>
      </c>
      <c r="G92" s="13">
        <f t="shared" ref="G92:G93" si="29">SUM(B92:F92)</f>
        <v>115796</v>
      </c>
      <c r="H92" s="31"/>
    </row>
    <row r="93">
      <c r="A93" s="10" t="s">
        <v>21</v>
      </c>
      <c r="B93" s="20">
        <v>3.0</v>
      </c>
      <c r="C93" s="20">
        <v>1.0</v>
      </c>
      <c r="D93" s="20">
        <v>1.0</v>
      </c>
      <c r="E93" s="20">
        <v>0.0</v>
      </c>
      <c r="F93" s="21"/>
      <c r="G93" s="22">
        <f t="shared" si="29"/>
        <v>5</v>
      </c>
      <c r="H93" s="31"/>
    </row>
    <row r="94">
      <c r="A94" s="10" t="s">
        <v>22</v>
      </c>
      <c r="B94" s="12">
        <f t="shared" ref="B94:E94" si="30">B92/B93</f>
        <v>18694.33333</v>
      </c>
      <c r="C94" s="12">
        <f t="shared" si="30"/>
        <v>26202</v>
      </c>
      <c r="D94" s="12">
        <f t="shared" si="30"/>
        <v>14136</v>
      </c>
      <c r="E94" s="21" t="str">
        <f t="shared" si="30"/>
        <v>#DIV/0!</v>
      </c>
      <c r="F94" s="21"/>
      <c r="G94" s="13">
        <f>G92/G93</f>
        <v>23159.2</v>
      </c>
      <c r="H94" s="31"/>
    </row>
    <row r="95">
      <c r="A95" s="10" t="s">
        <v>24</v>
      </c>
      <c r="B95" s="20">
        <v>0.0</v>
      </c>
      <c r="C95" s="20">
        <v>1.0</v>
      </c>
      <c r="D95" s="20">
        <v>1.0</v>
      </c>
      <c r="E95" s="20">
        <v>0.0</v>
      </c>
      <c r="F95" s="21"/>
      <c r="G95" s="22">
        <f>SUM(B95:D95)</f>
        <v>2</v>
      </c>
      <c r="H95" s="31"/>
    </row>
    <row r="96">
      <c r="A96" s="10" t="s">
        <v>25</v>
      </c>
      <c r="B96" s="21" t="str">
        <f t="shared" ref="B96:E96" si="31">B92/B95</f>
        <v>#DIV/0!</v>
      </c>
      <c r="C96" s="12">
        <f t="shared" si="31"/>
        <v>26202</v>
      </c>
      <c r="D96" s="12">
        <f t="shared" si="31"/>
        <v>14136</v>
      </c>
      <c r="E96" s="21" t="str">
        <f t="shared" si="31"/>
        <v>#DIV/0!</v>
      </c>
      <c r="F96" s="21"/>
      <c r="G96" s="13">
        <f>G92/G95</f>
        <v>57898</v>
      </c>
      <c r="H96" s="31"/>
    </row>
    <row r="97">
      <c r="A97" s="10" t="s">
        <v>27</v>
      </c>
      <c r="B97" s="27">
        <f t="shared" ref="B97:E97" si="32">B95/B93</f>
        <v>0</v>
      </c>
      <c r="C97" s="27">
        <f t="shared" si="32"/>
        <v>1</v>
      </c>
      <c r="D97" s="27">
        <f t="shared" si="32"/>
        <v>1</v>
      </c>
      <c r="E97" s="27" t="str">
        <f t="shared" si="32"/>
        <v>#DIV/0!</v>
      </c>
      <c r="F97" s="21"/>
      <c r="G97" s="28">
        <f>G95/G93</f>
        <v>0.4</v>
      </c>
      <c r="H97" s="31"/>
    </row>
    <row r="98">
      <c r="A98" s="10" t="s">
        <v>28</v>
      </c>
      <c r="B98" s="20">
        <v>0.0</v>
      </c>
      <c r="C98" s="20">
        <v>0.0</v>
      </c>
      <c r="D98" s="21"/>
      <c r="E98" s="21"/>
      <c r="F98" s="21"/>
      <c r="G98" s="22">
        <f>SUM(B98:D98)</f>
        <v>0</v>
      </c>
      <c r="H98" s="31"/>
    </row>
    <row r="99">
      <c r="A99" s="10" t="s">
        <v>29</v>
      </c>
      <c r="B99" s="21"/>
      <c r="C99" s="21"/>
      <c r="D99" s="21"/>
      <c r="E99" s="21"/>
      <c r="F99" s="21"/>
      <c r="G99" s="22"/>
      <c r="H99" s="31"/>
    </row>
    <row r="100">
      <c r="A100" s="10" t="s">
        <v>32</v>
      </c>
      <c r="B100" s="21"/>
      <c r="C100" s="21"/>
      <c r="D100" s="21"/>
      <c r="E100" s="21"/>
      <c r="F100" s="21"/>
      <c r="G100" s="22"/>
      <c r="H100" s="31"/>
    </row>
    <row r="103">
      <c r="A103" s="142" t="s">
        <v>93</v>
      </c>
    </row>
    <row r="104">
      <c r="A104" s="7" t="s">
        <v>3</v>
      </c>
      <c r="B104" s="8" t="s">
        <v>119</v>
      </c>
      <c r="C104" s="8" t="s">
        <v>120</v>
      </c>
      <c r="D104" s="8" t="s">
        <v>121</v>
      </c>
      <c r="E104" s="8" t="s">
        <v>122</v>
      </c>
      <c r="F104" s="8" t="s">
        <v>123</v>
      </c>
      <c r="G104" s="8" t="s">
        <v>43</v>
      </c>
      <c r="H104" s="9" t="s">
        <v>17</v>
      </c>
    </row>
    <row r="105">
      <c r="A105" s="10" t="s">
        <v>19</v>
      </c>
      <c r="B105" s="11"/>
      <c r="C105" s="11">
        <v>931.0</v>
      </c>
      <c r="D105" s="11">
        <v>19951.0</v>
      </c>
      <c r="E105" s="11">
        <v>20343.0</v>
      </c>
      <c r="F105" s="11">
        <v>9489.0</v>
      </c>
      <c r="G105" s="13">
        <f t="shared" ref="G105:G106" si="33">SUM(B105:F105)</f>
        <v>50714</v>
      </c>
      <c r="H105" s="31"/>
    </row>
    <row r="106">
      <c r="A106" s="10" t="s">
        <v>21</v>
      </c>
      <c r="B106" s="20"/>
      <c r="C106" s="20">
        <v>0.0</v>
      </c>
      <c r="D106" s="20">
        <v>3.0</v>
      </c>
      <c r="E106" s="20">
        <v>16.0</v>
      </c>
      <c r="F106" s="20">
        <v>2.0</v>
      </c>
      <c r="G106" s="22">
        <f t="shared" si="33"/>
        <v>21</v>
      </c>
      <c r="H106" s="31"/>
    </row>
    <row r="107">
      <c r="A107" s="10" t="s">
        <v>22</v>
      </c>
      <c r="B107" s="21"/>
      <c r="C107" s="21"/>
      <c r="D107" s="12">
        <f t="shared" ref="D107:G107" si="34">D105/D106</f>
        <v>6650.333333</v>
      </c>
      <c r="E107" s="12">
        <f t="shared" si="34"/>
        <v>1271.4375</v>
      </c>
      <c r="F107" s="12">
        <f t="shared" si="34"/>
        <v>4744.5</v>
      </c>
      <c r="G107" s="13">
        <f t="shared" si="34"/>
        <v>2414.952381</v>
      </c>
      <c r="H107" s="31"/>
    </row>
    <row r="108">
      <c r="A108" s="10" t="s">
        <v>24</v>
      </c>
      <c r="B108" s="20"/>
      <c r="C108" s="20"/>
      <c r="D108" s="20">
        <v>1.0</v>
      </c>
      <c r="E108" s="20">
        <v>0.0</v>
      </c>
      <c r="F108" s="20">
        <v>0.0</v>
      </c>
      <c r="G108" s="22">
        <f>SUM(B108:D108)</f>
        <v>1</v>
      </c>
      <c r="H108" s="31"/>
    </row>
    <row r="109">
      <c r="A109" s="10" t="s">
        <v>25</v>
      </c>
      <c r="B109" s="21"/>
      <c r="C109" s="21"/>
      <c r="D109" s="12">
        <f t="shared" ref="D109:E109" si="35">D105/D108</f>
        <v>19951</v>
      </c>
      <c r="E109" s="21" t="str">
        <f t="shared" si="35"/>
        <v>#DIV/0!</v>
      </c>
      <c r="F109" s="21"/>
      <c r="G109" s="13">
        <f>G105/G108</f>
        <v>50714</v>
      </c>
      <c r="H109" s="31"/>
    </row>
    <row r="110">
      <c r="A110" s="10" t="s">
        <v>27</v>
      </c>
      <c r="B110" s="27"/>
      <c r="C110" s="27"/>
      <c r="D110" s="27">
        <f t="shared" ref="D110:E110" si="36">D108/D106</f>
        <v>0.3333333333</v>
      </c>
      <c r="E110" s="27">
        <f t="shared" si="36"/>
        <v>0</v>
      </c>
      <c r="F110" s="21"/>
      <c r="G110" s="28">
        <f>G108/G106</f>
        <v>0.04761904762</v>
      </c>
      <c r="H110" s="31"/>
    </row>
    <row r="111">
      <c r="A111" s="10" t="s">
        <v>28</v>
      </c>
      <c r="B111" s="20"/>
      <c r="C111" s="20"/>
      <c r="D111" s="21"/>
      <c r="E111" s="21"/>
      <c r="F111" s="21"/>
      <c r="G111" s="22">
        <f>SUM(B111:D111)</f>
        <v>0</v>
      </c>
      <c r="H111" s="31"/>
    </row>
    <row r="112">
      <c r="A112" s="10" t="s">
        <v>29</v>
      </c>
      <c r="B112" s="21"/>
      <c r="C112" s="21"/>
      <c r="D112" s="21"/>
      <c r="E112" s="21"/>
      <c r="F112" s="21"/>
      <c r="G112" s="22"/>
      <c r="H112" s="31"/>
    </row>
    <row r="113">
      <c r="A113" s="10" t="s">
        <v>32</v>
      </c>
      <c r="B113" s="21"/>
      <c r="C113" s="21"/>
      <c r="D113" s="21"/>
      <c r="E113" s="21"/>
      <c r="F113" s="21"/>
      <c r="G113" s="22"/>
      <c r="H113" s="31"/>
    </row>
    <row r="116">
      <c r="A116" s="144" t="s">
        <v>76</v>
      </c>
    </row>
    <row r="117">
      <c r="A117" s="7" t="s">
        <v>3</v>
      </c>
      <c r="B117" s="8" t="s">
        <v>119</v>
      </c>
      <c r="C117" s="8" t="s">
        <v>120</v>
      </c>
      <c r="D117" s="8" t="s">
        <v>121</v>
      </c>
      <c r="E117" s="8" t="s">
        <v>122</v>
      </c>
      <c r="F117" s="8" t="s">
        <v>123</v>
      </c>
      <c r="G117" s="8" t="s">
        <v>43</v>
      </c>
      <c r="H117" s="9" t="s">
        <v>17</v>
      </c>
    </row>
    <row r="118">
      <c r="A118" s="10" t="s">
        <v>19</v>
      </c>
      <c r="B118" s="11">
        <v>82639.0</v>
      </c>
      <c r="C118" s="11">
        <v>58472.0</v>
      </c>
      <c r="D118" s="11">
        <v>77300.0</v>
      </c>
      <c r="E118" s="11">
        <v>143000.0</v>
      </c>
      <c r="F118" s="11">
        <v>41200.0</v>
      </c>
      <c r="G118" s="13">
        <f t="shared" ref="G118:G119" si="37">SUM(B118:F118)</f>
        <v>402611</v>
      </c>
      <c r="H118" s="31"/>
    </row>
    <row r="119">
      <c r="A119" s="10" t="s">
        <v>21</v>
      </c>
      <c r="B119" s="20">
        <v>8.0</v>
      </c>
      <c r="C119" s="20">
        <v>9.0</v>
      </c>
      <c r="D119" s="20">
        <v>10.0</v>
      </c>
      <c r="E119" s="20">
        <v>22.0</v>
      </c>
      <c r="F119" s="20">
        <v>7.0</v>
      </c>
      <c r="G119" s="22">
        <f t="shared" si="37"/>
        <v>56</v>
      </c>
      <c r="H119" s="31"/>
    </row>
    <row r="120">
      <c r="A120" s="10" t="s">
        <v>22</v>
      </c>
      <c r="B120" s="12">
        <f t="shared" ref="B120:G120" si="38">B118/B119</f>
        <v>10329.875</v>
      </c>
      <c r="C120" s="12">
        <f t="shared" si="38"/>
        <v>6496.888889</v>
      </c>
      <c r="D120" s="12">
        <f t="shared" si="38"/>
        <v>7730</v>
      </c>
      <c r="E120" s="12">
        <f t="shared" si="38"/>
        <v>6500</v>
      </c>
      <c r="F120" s="12">
        <f t="shared" si="38"/>
        <v>5885.714286</v>
      </c>
      <c r="G120" s="13">
        <f t="shared" si="38"/>
        <v>7189.482143</v>
      </c>
      <c r="H120" s="31"/>
    </row>
    <row r="121">
      <c r="A121" s="10" t="s">
        <v>24</v>
      </c>
      <c r="B121" s="20">
        <v>5.0</v>
      </c>
      <c r="C121" s="20">
        <v>7.0</v>
      </c>
      <c r="D121" s="20">
        <v>6.0</v>
      </c>
      <c r="E121" s="20">
        <v>9.0</v>
      </c>
      <c r="F121" s="20">
        <v>1.0</v>
      </c>
      <c r="G121" s="22">
        <f>SUM(B121:D121)</f>
        <v>18</v>
      </c>
      <c r="H121" s="31"/>
    </row>
    <row r="122">
      <c r="A122" s="10" t="s">
        <v>25</v>
      </c>
      <c r="B122" s="12">
        <f t="shared" ref="B122:G122" si="39">B118/B121</f>
        <v>16527.8</v>
      </c>
      <c r="C122" s="12">
        <f t="shared" si="39"/>
        <v>8353.142857</v>
      </c>
      <c r="D122" s="12">
        <f t="shared" si="39"/>
        <v>12883.33333</v>
      </c>
      <c r="E122" s="12">
        <f t="shared" si="39"/>
        <v>15888.88889</v>
      </c>
      <c r="F122" s="12">
        <f t="shared" si="39"/>
        <v>41200</v>
      </c>
      <c r="G122" s="13">
        <f t="shared" si="39"/>
        <v>22367.27778</v>
      </c>
      <c r="H122" s="31"/>
    </row>
    <row r="123">
      <c r="A123" s="10" t="s">
        <v>27</v>
      </c>
      <c r="B123" s="27">
        <f t="shared" ref="B123:G123" si="40">B121/B119</f>
        <v>0.625</v>
      </c>
      <c r="C123" s="27">
        <f t="shared" si="40"/>
        <v>0.7777777778</v>
      </c>
      <c r="D123" s="27">
        <f t="shared" si="40"/>
        <v>0.6</v>
      </c>
      <c r="E123" s="27">
        <f t="shared" si="40"/>
        <v>0.4090909091</v>
      </c>
      <c r="F123" s="27">
        <f t="shared" si="40"/>
        <v>0.1428571429</v>
      </c>
      <c r="G123" s="28">
        <f t="shared" si="40"/>
        <v>0.3214285714</v>
      </c>
      <c r="H123" s="31"/>
    </row>
    <row r="124">
      <c r="A124" s="10" t="s">
        <v>28</v>
      </c>
      <c r="B124" s="20">
        <v>0.0</v>
      </c>
      <c r="C124" s="20">
        <v>0.0</v>
      </c>
      <c r="D124" s="20">
        <v>0.0</v>
      </c>
      <c r="E124" s="21"/>
      <c r="F124" s="21"/>
      <c r="G124" s="22">
        <f>SUM(B124:D124)</f>
        <v>0</v>
      </c>
      <c r="H124" s="31"/>
    </row>
    <row r="125">
      <c r="A125" s="10" t="s">
        <v>29</v>
      </c>
      <c r="B125" s="21"/>
      <c r="C125" s="21"/>
      <c r="D125" s="21"/>
      <c r="E125" s="21"/>
      <c r="F125" s="21"/>
      <c r="G125" s="22"/>
      <c r="H125" s="31"/>
    </row>
    <row r="126">
      <c r="A126" s="10" t="s">
        <v>32</v>
      </c>
      <c r="B126" s="21"/>
      <c r="C126" s="21"/>
      <c r="D126" s="21"/>
      <c r="E126" s="21"/>
      <c r="F126" s="21"/>
      <c r="G126" s="22"/>
      <c r="H126" s="31"/>
    </row>
    <row r="129">
      <c r="A129" s="4" t="s">
        <v>61</v>
      </c>
    </row>
    <row r="130">
      <c r="A130" s="7" t="s">
        <v>3</v>
      </c>
      <c r="B130" s="8" t="s">
        <v>119</v>
      </c>
      <c r="C130" s="8" t="s">
        <v>120</v>
      </c>
      <c r="D130" s="8" t="s">
        <v>121</v>
      </c>
      <c r="E130" s="8" t="s">
        <v>122</v>
      </c>
      <c r="F130" s="8" t="s">
        <v>123</v>
      </c>
      <c r="G130" s="8" t="s">
        <v>43</v>
      </c>
    </row>
    <row r="131">
      <c r="A131" s="10" t="s">
        <v>62</v>
      </c>
      <c r="B131" s="11">
        <f t="shared" ref="B131:F131" si="41">B16+B32+B48+B64+B79+B92+B105</f>
        <v>2021456</v>
      </c>
      <c r="C131" s="11">
        <f t="shared" si="41"/>
        <v>1492033</v>
      </c>
      <c r="D131" s="11">
        <f t="shared" si="41"/>
        <v>1103816</v>
      </c>
      <c r="E131" s="11">
        <f t="shared" si="41"/>
        <v>1175105</v>
      </c>
      <c r="F131" s="11">
        <f t="shared" si="41"/>
        <v>518118</v>
      </c>
      <c r="G131" s="13">
        <f>SUM(B131:F131)</f>
        <v>6310528</v>
      </c>
    </row>
    <row r="132">
      <c r="A132" s="10" t="s">
        <v>63</v>
      </c>
      <c r="B132" s="11">
        <v>82639.0</v>
      </c>
      <c r="C132" s="11">
        <v>58472.0</v>
      </c>
      <c r="D132" s="12">
        <f>D118</f>
        <v>77300</v>
      </c>
      <c r="E132" s="12">
        <v>143127.0</v>
      </c>
      <c r="F132" s="12">
        <f>F118</f>
        <v>41200</v>
      </c>
      <c r="G132" s="13">
        <f>C132+B132+D132</f>
        <v>218411</v>
      </c>
    </row>
    <row r="133">
      <c r="A133" s="10" t="s">
        <v>64</v>
      </c>
      <c r="B133" s="21">
        <f t="shared" ref="B133:F133" si="42">B134+B135+B136</f>
        <v>18</v>
      </c>
      <c r="C133" s="21">
        <f t="shared" si="42"/>
        <v>31</v>
      </c>
      <c r="D133" s="21">
        <f t="shared" si="42"/>
        <v>26</v>
      </c>
      <c r="E133" s="21">
        <f t="shared" si="42"/>
        <v>33</v>
      </c>
      <c r="F133" s="21">
        <f t="shared" si="42"/>
        <v>7</v>
      </c>
      <c r="G133" s="22">
        <f t="shared" ref="G133:G135" si="44">SUM(B133:F133)</f>
        <v>115</v>
      </c>
    </row>
    <row r="134">
      <c r="A134" s="10" t="s">
        <v>65</v>
      </c>
      <c r="B134" s="20">
        <f t="shared" ref="B134:F134" si="43">B108+B95+B82+B68+B52+B36+B20</f>
        <v>13</v>
      </c>
      <c r="C134" s="20">
        <f t="shared" si="43"/>
        <v>24</v>
      </c>
      <c r="D134" s="20">
        <f t="shared" si="43"/>
        <v>20</v>
      </c>
      <c r="E134" s="20">
        <f t="shared" si="43"/>
        <v>19</v>
      </c>
      <c r="F134" s="20">
        <f t="shared" si="43"/>
        <v>3</v>
      </c>
      <c r="G134" s="22">
        <f t="shared" si="44"/>
        <v>79</v>
      </c>
    </row>
    <row r="135">
      <c r="A135" s="10" t="s">
        <v>66</v>
      </c>
      <c r="B135" s="20">
        <f t="shared" ref="B135:F135" si="45">B121</f>
        <v>5</v>
      </c>
      <c r="C135" s="20">
        <f t="shared" si="45"/>
        <v>7</v>
      </c>
      <c r="D135" s="20">
        <f t="shared" si="45"/>
        <v>6</v>
      </c>
      <c r="E135" s="21">
        <f t="shared" si="45"/>
        <v>9</v>
      </c>
      <c r="F135" s="21">
        <f t="shared" si="45"/>
        <v>1</v>
      </c>
      <c r="G135" s="22">
        <f t="shared" si="44"/>
        <v>28</v>
      </c>
    </row>
    <row r="136">
      <c r="A136" s="10" t="s">
        <v>129</v>
      </c>
      <c r="B136" s="21">
        <f t="shared" ref="B136:G136" si="46">B7-B134-B135</f>
        <v>0</v>
      </c>
      <c r="C136" s="21">
        <f t="shared" si="46"/>
        <v>0</v>
      </c>
      <c r="D136" s="21">
        <f t="shared" si="46"/>
        <v>0</v>
      </c>
      <c r="E136" s="21">
        <f t="shared" si="46"/>
        <v>5</v>
      </c>
      <c r="F136" s="21">
        <f t="shared" si="46"/>
        <v>3</v>
      </c>
      <c r="G136" s="22">
        <f t="shared" si="46"/>
        <v>8</v>
      </c>
    </row>
    <row r="137">
      <c r="A137" s="10" t="s">
        <v>67</v>
      </c>
      <c r="B137" s="12">
        <f t="shared" ref="B137:F137" si="47">B8-B134</f>
        <v>116881.1667</v>
      </c>
      <c r="C137" s="12">
        <f t="shared" si="47"/>
        <v>49962.25806</v>
      </c>
      <c r="D137" s="12">
        <f t="shared" si="47"/>
        <v>44640.19231</v>
      </c>
      <c r="E137" s="12">
        <f t="shared" si="47"/>
        <v>41808.45455</v>
      </c>
      <c r="F137" s="12">
        <f t="shared" si="47"/>
        <v>78544</v>
      </c>
      <c r="G137" s="13">
        <f>G131/G133</f>
        <v>54874.15652</v>
      </c>
    </row>
    <row r="138">
      <c r="A138" s="10" t="s">
        <v>68</v>
      </c>
      <c r="B138" s="12">
        <f t="shared" ref="B138:G138" si="48">B132/B135</f>
        <v>16527.8</v>
      </c>
      <c r="C138" s="12">
        <f t="shared" si="48"/>
        <v>8353.142857</v>
      </c>
      <c r="D138" s="12">
        <f t="shared" si="48"/>
        <v>12883.33333</v>
      </c>
      <c r="E138" s="12">
        <f t="shared" si="48"/>
        <v>15903</v>
      </c>
      <c r="F138" s="12">
        <f t="shared" si="48"/>
        <v>41200</v>
      </c>
      <c r="G138" s="13">
        <f t="shared" si="48"/>
        <v>7800.392857</v>
      </c>
    </row>
    <row r="139">
      <c r="A139" s="10" t="s">
        <v>69</v>
      </c>
      <c r="B139" s="20">
        <v>0.0</v>
      </c>
      <c r="C139" s="20">
        <v>0.0</v>
      </c>
      <c r="D139" s="20">
        <v>0.0</v>
      </c>
      <c r="E139" s="21"/>
      <c r="F139" s="21"/>
      <c r="G139" s="22"/>
    </row>
    <row r="140">
      <c r="A140" s="10" t="s">
        <v>70</v>
      </c>
      <c r="B140" s="20">
        <v>0.0</v>
      </c>
      <c r="C140" s="20">
        <v>0.0</v>
      </c>
      <c r="D140" s="20">
        <v>0.0</v>
      </c>
      <c r="E140" s="21"/>
      <c r="F140" s="21"/>
      <c r="G140" s="22"/>
    </row>
    <row r="141">
      <c r="A141" s="10" t="s">
        <v>71</v>
      </c>
      <c r="B141" s="21"/>
      <c r="C141" s="21"/>
      <c r="D141" s="21"/>
      <c r="E141" s="21"/>
      <c r="F141" s="21"/>
      <c r="G141" s="22"/>
    </row>
    <row r="142">
      <c r="A142" s="10" t="s">
        <v>72</v>
      </c>
      <c r="B142" s="21"/>
      <c r="C142" s="21"/>
      <c r="D142" s="21"/>
      <c r="E142" s="21"/>
      <c r="F142" s="21"/>
      <c r="G142" s="22"/>
    </row>
    <row r="143">
      <c r="A143" s="10" t="s">
        <v>32</v>
      </c>
      <c r="B143" s="21"/>
      <c r="C143" s="21"/>
      <c r="D143" s="21"/>
      <c r="E143" s="21"/>
      <c r="F143" s="21"/>
      <c r="G143" s="22"/>
    </row>
    <row r="146">
      <c r="A146" s="142" t="s">
        <v>73</v>
      </c>
    </row>
    <row r="147">
      <c r="A147" s="7" t="s">
        <v>3</v>
      </c>
      <c r="B147" s="8" t="s">
        <v>54</v>
      </c>
      <c r="C147" s="8" t="s">
        <v>55</v>
      </c>
      <c r="D147" s="8" t="s">
        <v>56</v>
      </c>
      <c r="E147" s="8" t="s">
        <v>74</v>
      </c>
      <c r="F147" s="8" t="s">
        <v>75</v>
      </c>
      <c r="G147" s="8" t="s">
        <v>94</v>
      </c>
      <c r="H147" s="8" t="s">
        <v>76</v>
      </c>
    </row>
    <row r="148">
      <c r="A148" s="10" t="s">
        <v>19</v>
      </c>
      <c r="B148" s="12">
        <f>G16</f>
        <v>1108494</v>
      </c>
      <c r="C148" s="12">
        <f>G32</f>
        <v>2804685</v>
      </c>
      <c r="D148" s="12">
        <f>G48</f>
        <v>1807732</v>
      </c>
      <c r="E148" s="12">
        <f>G64</f>
        <v>91499</v>
      </c>
      <c r="F148" s="12">
        <f>G79</f>
        <v>331608</v>
      </c>
      <c r="G148" s="12">
        <f>G105</f>
        <v>50714</v>
      </c>
      <c r="H148" s="12">
        <f>G118</f>
        <v>402611</v>
      </c>
    </row>
    <row r="149">
      <c r="A149" s="10" t="s">
        <v>77</v>
      </c>
      <c r="B149" s="27">
        <f t="shared" ref="B149:H149" si="49">B148/SUM($B$148:$H$148)</f>
        <v>0.1680212777</v>
      </c>
      <c r="C149" s="27">
        <f t="shared" si="49"/>
        <v>0.4251234171</v>
      </c>
      <c r="D149" s="27">
        <f t="shared" si="49"/>
        <v>0.2740090973</v>
      </c>
      <c r="E149" s="27">
        <f t="shared" si="49"/>
        <v>0.0138690682</v>
      </c>
      <c r="F149" s="27">
        <f t="shared" si="49"/>
        <v>0.05026387138</v>
      </c>
      <c r="G149" s="27">
        <f t="shared" si="49"/>
        <v>0.007687034007</v>
      </c>
      <c r="H149" s="27">
        <f t="shared" si="49"/>
        <v>0.06102623435</v>
      </c>
    </row>
    <row r="150">
      <c r="A150" s="10" t="s">
        <v>21</v>
      </c>
      <c r="B150" s="21">
        <f t="shared" ref="B150:B151" si="50">G17</f>
        <v>95</v>
      </c>
      <c r="C150" s="21">
        <f t="shared" ref="C150:C151" si="51">G33</f>
        <v>386</v>
      </c>
      <c r="D150" s="21">
        <f t="shared" ref="D150:D151" si="52">G49</f>
        <v>437</v>
      </c>
      <c r="E150" s="21">
        <f t="shared" ref="E150:E151" si="53">G65</f>
        <v>53</v>
      </c>
      <c r="F150" s="21">
        <f t="shared" ref="F150:F155" si="54">G80</f>
        <v>64</v>
      </c>
      <c r="G150" s="21">
        <f t="shared" ref="G150:G157" si="55">G106</f>
        <v>21</v>
      </c>
      <c r="H150" s="21">
        <f t="shared" ref="H150:H157" si="56">G119</f>
        <v>56</v>
      </c>
    </row>
    <row r="151">
      <c r="A151" s="10" t="s">
        <v>22</v>
      </c>
      <c r="B151" s="12">
        <f t="shared" si="50"/>
        <v>11668.35789</v>
      </c>
      <c r="C151" s="12">
        <f t="shared" si="51"/>
        <v>7266.023316</v>
      </c>
      <c r="D151" s="12">
        <f t="shared" si="52"/>
        <v>4136.686499</v>
      </c>
      <c r="E151" s="12">
        <f t="shared" si="53"/>
        <v>1726.396226</v>
      </c>
      <c r="F151" s="12">
        <f t="shared" si="54"/>
        <v>5181.375</v>
      </c>
      <c r="G151" s="12">
        <f t="shared" si="55"/>
        <v>2414.952381</v>
      </c>
      <c r="H151" s="12">
        <f t="shared" si="56"/>
        <v>7189.482143</v>
      </c>
    </row>
    <row r="152">
      <c r="A152" s="10" t="s">
        <v>24</v>
      </c>
      <c r="B152" s="21">
        <f t="shared" ref="B152:B153" si="57">G20</f>
        <v>5</v>
      </c>
      <c r="C152" s="21">
        <f t="shared" ref="C152:C153" si="58">G36</f>
        <v>16</v>
      </c>
      <c r="D152" s="21">
        <f t="shared" ref="D152:D153" si="59">G52</f>
        <v>29</v>
      </c>
      <c r="E152" s="21">
        <f t="shared" ref="E152:E153" si="60">G68</f>
        <v>6</v>
      </c>
      <c r="F152" s="21">
        <f t="shared" si="54"/>
        <v>1</v>
      </c>
      <c r="G152" s="21">
        <f t="shared" si="55"/>
        <v>1</v>
      </c>
      <c r="H152" s="21">
        <f t="shared" si="56"/>
        <v>18</v>
      </c>
    </row>
    <row r="153">
      <c r="A153" s="10" t="s">
        <v>25</v>
      </c>
      <c r="B153" s="12">
        <f t="shared" si="57"/>
        <v>221698.8</v>
      </c>
      <c r="C153" s="12">
        <f t="shared" si="58"/>
        <v>175292.8125</v>
      </c>
      <c r="D153" s="12">
        <f t="shared" si="59"/>
        <v>62335.58621</v>
      </c>
      <c r="E153" s="12">
        <f t="shared" si="60"/>
        <v>15249.83333</v>
      </c>
      <c r="F153" s="12">
        <f t="shared" si="54"/>
        <v>331608</v>
      </c>
      <c r="G153" s="12">
        <f t="shared" si="55"/>
        <v>50714</v>
      </c>
      <c r="H153" s="12">
        <f t="shared" si="56"/>
        <v>22367.27778</v>
      </c>
    </row>
    <row r="154">
      <c r="A154" s="10" t="s">
        <v>27</v>
      </c>
      <c r="B154" s="27">
        <f t="shared" ref="B154:B156" si="61">G23</f>
        <v>0.05263157895</v>
      </c>
      <c r="C154" s="27">
        <f t="shared" ref="C154:C155" si="62">G39</f>
        <v>0.0414507772</v>
      </c>
      <c r="D154" s="27">
        <f t="shared" ref="D154:D155" si="63">G55</f>
        <v>0.06636155606</v>
      </c>
      <c r="E154" s="27">
        <f t="shared" ref="E154:E156" si="64">G71</f>
        <v>0.1132075472</v>
      </c>
      <c r="F154" s="27">
        <f t="shared" si="54"/>
        <v>0.015625</v>
      </c>
      <c r="G154" s="27">
        <f t="shared" si="55"/>
        <v>0.04761904762</v>
      </c>
      <c r="H154" s="27">
        <f t="shared" si="56"/>
        <v>0.3214285714</v>
      </c>
    </row>
    <row r="155">
      <c r="A155" s="10" t="s">
        <v>28</v>
      </c>
      <c r="B155" s="21">
        <f t="shared" si="61"/>
        <v>0</v>
      </c>
      <c r="C155" s="21">
        <f t="shared" si="62"/>
        <v>1</v>
      </c>
      <c r="D155" s="21">
        <f t="shared" si="63"/>
        <v>3</v>
      </c>
      <c r="E155" s="21">
        <f t="shared" si="64"/>
        <v>0</v>
      </c>
      <c r="F155" s="21">
        <f t="shared" si="54"/>
        <v>0</v>
      </c>
      <c r="G155" s="21">
        <f t="shared" si="55"/>
        <v>0</v>
      </c>
      <c r="H155" s="21">
        <f t="shared" si="56"/>
        <v>0</v>
      </c>
    </row>
    <row r="156">
      <c r="A156" s="10" t="s">
        <v>29</v>
      </c>
      <c r="B156" s="21" t="str">
        <f t="shared" si="61"/>
        <v>#DIV/0!</v>
      </c>
      <c r="C156" s="21"/>
      <c r="D156" s="21"/>
      <c r="E156" s="21" t="str">
        <f t="shared" si="64"/>
        <v/>
      </c>
      <c r="F156" s="21"/>
      <c r="G156" s="21" t="str">
        <f t="shared" si="55"/>
        <v/>
      </c>
      <c r="H156" s="21" t="str">
        <f t="shared" si="56"/>
        <v/>
      </c>
    </row>
    <row r="157">
      <c r="A157" s="10" t="s">
        <v>32</v>
      </c>
      <c r="B157" s="21" t="str">
        <f>G27</f>
        <v/>
      </c>
      <c r="C157" s="21"/>
      <c r="D157" s="21"/>
      <c r="E157" s="21" t="str">
        <f>G75</f>
        <v/>
      </c>
      <c r="F157" s="21"/>
      <c r="G157" s="21" t="str">
        <f t="shared" si="55"/>
        <v/>
      </c>
      <c r="H157" s="21" t="str">
        <f t="shared" si="56"/>
        <v/>
      </c>
    </row>
  </sheetData>
  <mergeCells count="4">
    <mergeCell ref="K3:Q12"/>
    <mergeCell ref="K15:Q27"/>
    <mergeCell ref="K31:Q43"/>
    <mergeCell ref="K47:Q59"/>
  </mergeCells>
  <printOptions gridLines="1" horizontalCentered="1"/>
  <pageMargins bottom="0.75" footer="0.0" header="0.0" left="0.7" right="0.7" top="0.75"/>
  <pageSetup fitToHeight="0" paperSize="9"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19.38"/>
    <col customWidth="1" min="3" max="6" width="16.13"/>
    <col customWidth="1" min="8" max="8" width="13.13"/>
    <col customWidth="1" min="9" max="9" width="15.13"/>
  </cols>
  <sheetData>
    <row r="1">
      <c r="H1" s="118" t="s">
        <v>37</v>
      </c>
      <c r="I1" s="119">
        <f>15/30</f>
        <v>0.5</v>
      </c>
    </row>
    <row r="2">
      <c r="A2" s="4" t="s">
        <v>1</v>
      </c>
    </row>
    <row r="3">
      <c r="A3" s="7" t="s">
        <v>3</v>
      </c>
      <c r="B3" s="8" t="s">
        <v>130</v>
      </c>
      <c r="C3" s="8" t="s">
        <v>131</v>
      </c>
      <c r="D3" s="8" t="s">
        <v>132</v>
      </c>
      <c r="E3" s="8" t="s">
        <v>133</v>
      </c>
      <c r="F3" s="8" t="s">
        <v>134</v>
      </c>
      <c r="G3" s="8" t="s">
        <v>43</v>
      </c>
      <c r="H3" s="9" t="s">
        <v>17</v>
      </c>
      <c r="I3" s="120" t="s">
        <v>44</v>
      </c>
      <c r="K3" s="162" t="s">
        <v>135</v>
      </c>
      <c r="L3" s="49"/>
      <c r="M3" s="49"/>
      <c r="N3" s="49"/>
      <c r="O3" s="49"/>
      <c r="P3" s="49"/>
      <c r="Q3" s="50"/>
    </row>
    <row r="4">
      <c r="A4" s="10" t="s">
        <v>19</v>
      </c>
      <c r="B4" s="11">
        <f t="shared" ref="B4:F4" si="1">B16+B29+B42+B55+B67+B80+B106+B119</f>
        <v>2188442</v>
      </c>
      <c r="C4" s="11">
        <f t="shared" si="1"/>
        <v>2239352</v>
      </c>
      <c r="D4" s="11">
        <f t="shared" si="1"/>
        <v>2568246</v>
      </c>
      <c r="E4" s="11">
        <f t="shared" si="1"/>
        <v>2250781</v>
      </c>
      <c r="F4" s="11">
        <f t="shared" si="1"/>
        <v>1016537</v>
      </c>
      <c r="G4" s="13">
        <f>B4+C4</f>
        <v>4427794</v>
      </c>
      <c r="H4" s="14">
        <v>7500000.0</v>
      </c>
      <c r="I4" s="123">
        <f t="shared" ref="I4:I5" si="2">G4/H4</f>
        <v>0.5903725333</v>
      </c>
      <c r="K4" s="57"/>
      <c r="Q4" s="58"/>
    </row>
    <row r="5">
      <c r="A5" s="10" t="s">
        <v>21</v>
      </c>
      <c r="B5" s="20">
        <v>644.0</v>
      </c>
      <c r="C5" s="20">
        <v>370.0</v>
      </c>
      <c r="D5" s="21"/>
      <c r="E5" s="21"/>
      <c r="F5" s="21"/>
      <c r="G5" s="22">
        <f>C5+B5</f>
        <v>1014</v>
      </c>
      <c r="H5" s="126">
        <f>H4/H6</f>
        <v>1829.268293</v>
      </c>
      <c r="I5" s="123">
        <f t="shared" si="2"/>
        <v>0.55432</v>
      </c>
      <c r="K5" s="57"/>
      <c r="Q5" s="58"/>
    </row>
    <row r="6">
      <c r="A6" s="10" t="s">
        <v>22</v>
      </c>
      <c r="B6" s="12">
        <f t="shared" ref="B6:C6" si="3">B4/B5</f>
        <v>3398.201863</v>
      </c>
      <c r="C6" s="12">
        <f t="shared" si="3"/>
        <v>6052.302703</v>
      </c>
      <c r="D6" s="21"/>
      <c r="E6" s="21"/>
      <c r="F6" s="21"/>
      <c r="G6" s="13">
        <f>G4/G5</f>
        <v>4366.66075</v>
      </c>
      <c r="H6" s="14">
        <v>4100.0</v>
      </c>
      <c r="I6" s="123">
        <f>H6/G6-1</f>
        <v>-0.06106742997</v>
      </c>
      <c r="K6" s="57"/>
      <c r="Q6" s="58"/>
    </row>
    <row r="7">
      <c r="A7" s="10" t="s">
        <v>24</v>
      </c>
      <c r="B7" s="20">
        <v>36.0</v>
      </c>
      <c r="C7" s="20">
        <v>43.0</v>
      </c>
      <c r="D7" s="21"/>
      <c r="E7" s="21"/>
      <c r="F7" s="21"/>
      <c r="G7" s="22">
        <f>B7+C7</f>
        <v>79</v>
      </c>
      <c r="H7" s="126">
        <f>H5*H9</f>
        <v>128.0487805</v>
      </c>
      <c r="I7" s="123">
        <f>G7/H7</f>
        <v>0.616952381</v>
      </c>
      <c r="K7" s="57"/>
      <c r="Q7" s="58"/>
    </row>
    <row r="8">
      <c r="A8" s="10" t="s">
        <v>25</v>
      </c>
      <c r="B8" s="12">
        <f t="shared" ref="B8:C8" si="4">B4/B7</f>
        <v>60790.05556</v>
      </c>
      <c r="C8" s="12">
        <f t="shared" si="4"/>
        <v>52077.95349</v>
      </c>
      <c r="D8" s="21"/>
      <c r="E8" s="21"/>
      <c r="F8" s="21"/>
      <c r="G8" s="13">
        <f t="shared" ref="G8:H8" si="5">G4/G7</f>
        <v>56048.02532</v>
      </c>
      <c r="H8" s="25">
        <f t="shared" si="5"/>
        <v>58571.42857</v>
      </c>
      <c r="I8" s="129"/>
      <c r="K8" s="57"/>
      <c r="Q8" s="58"/>
    </row>
    <row r="9">
      <c r="A9" s="10" t="s">
        <v>27</v>
      </c>
      <c r="B9" s="27">
        <f t="shared" ref="B9:C9" si="6">B7/B5</f>
        <v>0.05590062112</v>
      </c>
      <c r="C9" s="27">
        <f t="shared" si="6"/>
        <v>0.1162162162</v>
      </c>
      <c r="D9" s="21"/>
      <c r="E9" s="21"/>
      <c r="F9" s="21"/>
      <c r="G9" s="28">
        <f>G7/G5</f>
        <v>0.07790927022</v>
      </c>
      <c r="H9" s="160">
        <v>0.07</v>
      </c>
      <c r="I9" s="129"/>
      <c r="K9" s="57"/>
      <c r="Q9" s="58"/>
    </row>
    <row r="10">
      <c r="A10" s="10" t="s">
        <v>28</v>
      </c>
      <c r="B10" s="20">
        <v>0.0</v>
      </c>
      <c r="C10" s="20">
        <v>0.0</v>
      </c>
      <c r="D10" s="21"/>
      <c r="E10" s="21"/>
      <c r="F10" s="21"/>
      <c r="G10" s="22"/>
      <c r="H10" s="31"/>
      <c r="I10" s="129"/>
      <c r="K10" s="57"/>
      <c r="Q10" s="58"/>
    </row>
    <row r="11">
      <c r="A11" s="10" t="s">
        <v>53</v>
      </c>
      <c r="B11" s="21"/>
      <c r="C11" s="21"/>
      <c r="D11" s="21"/>
      <c r="E11" s="21"/>
      <c r="F11" s="21"/>
      <c r="G11" s="22"/>
      <c r="H11" s="31"/>
      <c r="I11" s="129"/>
      <c r="K11" s="57"/>
      <c r="Q11" s="58"/>
    </row>
    <row r="12">
      <c r="A12" s="10" t="s">
        <v>32</v>
      </c>
      <c r="B12" s="21"/>
      <c r="C12" s="21"/>
      <c r="D12" s="21"/>
      <c r="E12" s="21"/>
      <c r="F12" s="21"/>
      <c r="G12" s="22"/>
      <c r="H12" s="31"/>
      <c r="I12" s="129"/>
      <c r="K12" s="81"/>
      <c r="L12" s="82"/>
      <c r="M12" s="82"/>
      <c r="N12" s="82"/>
      <c r="O12" s="82"/>
      <c r="P12" s="82"/>
      <c r="Q12" s="83"/>
    </row>
    <row r="14">
      <c r="A14" s="133" t="s">
        <v>54</v>
      </c>
    </row>
    <row r="15">
      <c r="A15" s="7" t="s">
        <v>3</v>
      </c>
      <c r="B15" s="8" t="s">
        <v>130</v>
      </c>
      <c r="C15" s="8" t="s">
        <v>131</v>
      </c>
      <c r="D15" s="8" t="s">
        <v>132</v>
      </c>
      <c r="E15" s="8" t="s">
        <v>133</v>
      </c>
      <c r="F15" s="8" t="s">
        <v>134</v>
      </c>
      <c r="G15" s="8" t="s">
        <v>43</v>
      </c>
      <c r="H15" s="9" t="s">
        <v>17</v>
      </c>
      <c r="K15" s="162" t="s">
        <v>136</v>
      </c>
      <c r="L15" s="49"/>
      <c r="M15" s="49"/>
      <c r="N15" s="49"/>
      <c r="O15" s="49"/>
      <c r="P15" s="49"/>
      <c r="Q15" s="50"/>
    </row>
    <row r="16">
      <c r="A16" s="10" t="s">
        <v>19</v>
      </c>
      <c r="B16" s="11">
        <v>281436.0</v>
      </c>
      <c r="C16" s="11">
        <v>356040.0</v>
      </c>
      <c r="D16" s="11">
        <v>410591.0</v>
      </c>
      <c r="E16" s="11">
        <v>548256.0</v>
      </c>
      <c r="F16" s="11">
        <v>236776.0</v>
      </c>
      <c r="G16" s="22"/>
      <c r="H16" s="31"/>
      <c r="K16" s="57"/>
      <c r="Q16" s="58"/>
    </row>
    <row r="17">
      <c r="A17" s="10" t="s">
        <v>21</v>
      </c>
      <c r="B17" s="20">
        <v>644.0</v>
      </c>
      <c r="C17" s="20">
        <v>370.0</v>
      </c>
      <c r="D17" s="21"/>
      <c r="E17" s="21"/>
      <c r="F17" s="21"/>
      <c r="G17" s="22"/>
      <c r="H17" s="31"/>
      <c r="K17" s="57"/>
      <c r="Q17" s="58"/>
    </row>
    <row r="18">
      <c r="A18" s="10" t="s">
        <v>22</v>
      </c>
      <c r="B18" s="12">
        <f t="shared" ref="B18:C18" si="7">B16/B17</f>
        <v>437.0124224</v>
      </c>
      <c r="C18" s="12">
        <f t="shared" si="7"/>
        <v>962.2702703</v>
      </c>
      <c r="D18" s="21"/>
      <c r="E18" s="21"/>
      <c r="F18" s="21"/>
      <c r="G18" s="22"/>
      <c r="H18" s="31"/>
      <c r="K18" s="57"/>
      <c r="Q18" s="58"/>
    </row>
    <row r="19">
      <c r="A19" s="10" t="s">
        <v>24</v>
      </c>
      <c r="B19" s="20">
        <v>36.0</v>
      </c>
      <c r="C19" s="20">
        <v>43.0</v>
      </c>
      <c r="D19" s="21"/>
      <c r="E19" s="21"/>
      <c r="F19" s="21"/>
      <c r="G19" s="22"/>
      <c r="H19" s="31"/>
      <c r="K19" s="57"/>
      <c r="Q19" s="58"/>
    </row>
    <row r="20">
      <c r="A20" s="10" t="s">
        <v>25</v>
      </c>
      <c r="B20" s="12">
        <f t="shared" ref="B20:C20" si="8">B16/B19</f>
        <v>7817.666667</v>
      </c>
      <c r="C20" s="12">
        <f t="shared" si="8"/>
        <v>8280</v>
      </c>
      <c r="D20" s="21"/>
      <c r="E20" s="21"/>
      <c r="F20" s="21"/>
      <c r="G20" s="22"/>
      <c r="H20" s="31"/>
      <c r="K20" s="57"/>
      <c r="Q20" s="58"/>
    </row>
    <row r="21">
      <c r="A21" s="10" t="s">
        <v>27</v>
      </c>
      <c r="B21" s="27">
        <f t="shared" ref="B21:C21" si="9">B19/B17</f>
        <v>0.05590062112</v>
      </c>
      <c r="C21" s="27">
        <f t="shared" si="9"/>
        <v>0.1162162162</v>
      </c>
      <c r="D21" s="21"/>
      <c r="E21" s="21"/>
      <c r="F21" s="21"/>
      <c r="G21" s="22"/>
      <c r="H21" s="31"/>
      <c r="K21" s="57"/>
      <c r="Q21" s="58"/>
    </row>
    <row r="22">
      <c r="A22" s="10" t="s">
        <v>28</v>
      </c>
      <c r="B22" s="20">
        <v>0.0</v>
      </c>
      <c r="C22" s="20">
        <v>0.0</v>
      </c>
      <c r="D22" s="21"/>
      <c r="E22" s="21"/>
      <c r="F22" s="21"/>
      <c r="G22" s="22"/>
      <c r="H22" s="31"/>
      <c r="K22" s="57"/>
      <c r="Q22" s="58"/>
    </row>
    <row r="23">
      <c r="A23" s="10" t="s">
        <v>29</v>
      </c>
      <c r="B23" s="21"/>
      <c r="C23" s="21"/>
      <c r="D23" s="21"/>
      <c r="E23" s="21"/>
      <c r="F23" s="21"/>
      <c r="G23" s="22"/>
      <c r="H23" s="31"/>
      <c r="K23" s="57"/>
      <c r="Q23" s="58"/>
    </row>
    <row r="24">
      <c r="A24" s="10" t="s">
        <v>32</v>
      </c>
      <c r="B24" s="21"/>
      <c r="C24" s="21"/>
      <c r="D24" s="21"/>
      <c r="E24" s="21"/>
      <c r="F24" s="21"/>
      <c r="G24" s="22"/>
      <c r="H24" s="31"/>
      <c r="K24" s="81"/>
      <c r="L24" s="82"/>
      <c r="M24" s="82"/>
      <c r="N24" s="82"/>
      <c r="O24" s="82"/>
      <c r="P24" s="82"/>
      <c r="Q24" s="83"/>
    </row>
    <row r="27">
      <c r="A27" s="139" t="s">
        <v>55</v>
      </c>
    </row>
    <row r="28">
      <c r="A28" s="7" t="s">
        <v>3</v>
      </c>
      <c r="B28" s="8" t="s">
        <v>130</v>
      </c>
      <c r="C28" s="8" t="s">
        <v>131</v>
      </c>
      <c r="D28" s="8" t="s">
        <v>132</v>
      </c>
      <c r="E28" s="8" t="s">
        <v>133</v>
      </c>
      <c r="F28" s="8" t="s">
        <v>134</v>
      </c>
      <c r="G28" s="8" t="s">
        <v>43</v>
      </c>
      <c r="H28" s="9" t="s">
        <v>17</v>
      </c>
      <c r="K28" s="162" t="s">
        <v>137</v>
      </c>
      <c r="L28" s="49"/>
      <c r="M28" s="49"/>
      <c r="N28" s="49"/>
      <c r="O28" s="49"/>
      <c r="P28" s="49"/>
      <c r="Q28" s="50"/>
    </row>
    <row r="29">
      <c r="A29" s="10" t="s">
        <v>19</v>
      </c>
      <c r="B29" s="11">
        <v>675715.0</v>
      </c>
      <c r="C29" s="11">
        <v>652485.0</v>
      </c>
      <c r="D29" s="11">
        <v>803126.0</v>
      </c>
      <c r="E29" s="11">
        <v>894914.0</v>
      </c>
      <c r="F29" s="20">
        <v>382585.0</v>
      </c>
      <c r="G29" s="22"/>
      <c r="H29" s="31"/>
      <c r="K29" s="57"/>
      <c r="Q29" s="58"/>
    </row>
    <row r="30">
      <c r="A30" s="10" t="s">
        <v>21</v>
      </c>
      <c r="B30" s="20">
        <v>644.0</v>
      </c>
      <c r="C30" s="20">
        <v>370.0</v>
      </c>
      <c r="D30" s="21"/>
      <c r="E30" s="21"/>
      <c r="F30" s="21"/>
      <c r="G30" s="22"/>
      <c r="H30" s="31"/>
      <c r="K30" s="57"/>
      <c r="Q30" s="58"/>
    </row>
    <row r="31">
      <c r="A31" s="10" t="s">
        <v>22</v>
      </c>
      <c r="B31" s="12">
        <f t="shared" ref="B31:C31" si="10">B29/B30</f>
        <v>1049.246894</v>
      </c>
      <c r="C31" s="12">
        <f t="shared" si="10"/>
        <v>1763.472973</v>
      </c>
      <c r="D31" s="21"/>
      <c r="E31" s="21"/>
      <c r="F31" s="21"/>
      <c r="G31" s="22"/>
      <c r="H31" s="31"/>
      <c r="K31" s="57"/>
      <c r="Q31" s="58"/>
    </row>
    <row r="32">
      <c r="A32" s="10" t="s">
        <v>24</v>
      </c>
      <c r="B32" s="20">
        <v>36.0</v>
      </c>
      <c r="C32" s="20">
        <v>43.0</v>
      </c>
      <c r="D32" s="21"/>
      <c r="E32" s="21"/>
      <c r="F32" s="21"/>
      <c r="G32" s="22"/>
      <c r="H32" s="31"/>
      <c r="K32" s="57"/>
      <c r="Q32" s="58"/>
    </row>
    <row r="33">
      <c r="A33" s="10" t="s">
        <v>25</v>
      </c>
      <c r="B33" s="12">
        <f t="shared" ref="B33:C33" si="11">B29/B32</f>
        <v>18769.86111</v>
      </c>
      <c r="C33" s="12">
        <f t="shared" si="11"/>
        <v>15174.06977</v>
      </c>
      <c r="D33" s="21"/>
      <c r="E33" s="21"/>
      <c r="F33" s="21"/>
      <c r="G33" s="22"/>
      <c r="H33" s="31"/>
      <c r="K33" s="57"/>
      <c r="Q33" s="58"/>
    </row>
    <row r="34">
      <c r="A34" s="10" t="s">
        <v>27</v>
      </c>
      <c r="B34" s="27">
        <f t="shared" ref="B34:C34" si="12">B32/B30</f>
        <v>0.05590062112</v>
      </c>
      <c r="C34" s="27">
        <f t="shared" si="12"/>
        <v>0.1162162162</v>
      </c>
      <c r="D34" s="21"/>
      <c r="E34" s="21"/>
      <c r="F34" s="21"/>
      <c r="G34" s="22"/>
      <c r="H34" s="31"/>
      <c r="K34" s="57"/>
      <c r="Q34" s="58"/>
    </row>
    <row r="35">
      <c r="A35" s="10" t="s">
        <v>28</v>
      </c>
      <c r="B35" s="20">
        <v>0.0</v>
      </c>
      <c r="C35" s="20">
        <v>0.0</v>
      </c>
      <c r="D35" s="21"/>
      <c r="E35" s="21"/>
      <c r="F35" s="21"/>
      <c r="G35" s="22"/>
      <c r="H35" s="31"/>
      <c r="K35" s="57"/>
      <c r="Q35" s="58"/>
    </row>
    <row r="36">
      <c r="A36" s="10" t="s">
        <v>29</v>
      </c>
      <c r="B36" s="21"/>
      <c r="C36" s="21"/>
      <c r="D36" s="21"/>
      <c r="E36" s="21"/>
      <c r="F36" s="21"/>
      <c r="G36" s="22"/>
      <c r="H36" s="31"/>
      <c r="K36" s="57"/>
      <c r="Q36" s="58"/>
    </row>
    <row r="37">
      <c r="A37" s="10" t="s">
        <v>32</v>
      </c>
      <c r="B37" s="21"/>
      <c r="C37" s="21"/>
      <c r="D37" s="21"/>
      <c r="E37" s="21"/>
      <c r="F37" s="21"/>
      <c r="G37" s="22"/>
      <c r="H37" s="31"/>
      <c r="K37" s="81"/>
      <c r="L37" s="82"/>
      <c r="M37" s="82"/>
      <c r="N37" s="82"/>
      <c r="O37" s="82"/>
      <c r="P37" s="82"/>
      <c r="Q37" s="83"/>
    </row>
    <row r="40">
      <c r="A40" s="141" t="s">
        <v>56</v>
      </c>
    </row>
    <row r="41">
      <c r="A41" s="7" t="s">
        <v>3</v>
      </c>
      <c r="B41" s="8" t="s">
        <v>130</v>
      </c>
      <c r="C41" s="8" t="s">
        <v>131</v>
      </c>
      <c r="D41" s="8" t="s">
        <v>132</v>
      </c>
      <c r="E41" s="8" t="s">
        <v>133</v>
      </c>
      <c r="F41" s="8" t="s">
        <v>134</v>
      </c>
      <c r="G41" s="8" t="s">
        <v>43</v>
      </c>
      <c r="H41" s="9" t="s">
        <v>17</v>
      </c>
      <c r="K41" s="162" t="s">
        <v>128</v>
      </c>
      <c r="L41" s="49"/>
      <c r="M41" s="49"/>
      <c r="N41" s="49"/>
      <c r="O41" s="49"/>
      <c r="P41" s="49"/>
      <c r="Q41" s="50"/>
    </row>
    <row r="42">
      <c r="A42" s="10" t="s">
        <v>19</v>
      </c>
      <c r="B42" s="11">
        <v>368239.0</v>
      </c>
      <c r="C42" s="11">
        <v>359606.0</v>
      </c>
      <c r="D42" s="11">
        <v>438254.0</v>
      </c>
      <c r="E42" s="11">
        <v>580324.0</v>
      </c>
      <c r="F42" s="11">
        <v>261629.0</v>
      </c>
      <c r="G42" s="22"/>
      <c r="H42" s="31"/>
      <c r="K42" s="57"/>
      <c r="Q42" s="58"/>
    </row>
    <row r="43">
      <c r="A43" s="10" t="s">
        <v>21</v>
      </c>
      <c r="B43" s="20">
        <v>644.0</v>
      </c>
      <c r="C43" s="20">
        <v>370.0</v>
      </c>
      <c r="D43" s="21"/>
      <c r="E43" s="21"/>
      <c r="F43" s="21"/>
      <c r="G43" s="22"/>
      <c r="H43" s="31"/>
      <c r="K43" s="57"/>
      <c r="Q43" s="58"/>
    </row>
    <row r="44">
      <c r="A44" s="10" t="s">
        <v>22</v>
      </c>
      <c r="B44" s="12">
        <f t="shared" ref="B44:C44" si="13">B42/B43</f>
        <v>571.7996894</v>
      </c>
      <c r="C44" s="12">
        <f t="shared" si="13"/>
        <v>971.9081081</v>
      </c>
      <c r="D44" s="21"/>
      <c r="E44" s="21"/>
      <c r="F44" s="21"/>
      <c r="G44" s="22"/>
      <c r="H44" s="31"/>
      <c r="K44" s="57"/>
      <c r="Q44" s="58"/>
    </row>
    <row r="45">
      <c r="A45" s="10" t="s">
        <v>24</v>
      </c>
      <c r="B45" s="20">
        <v>36.0</v>
      </c>
      <c r="C45" s="20">
        <v>43.0</v>
      </c>
      <c r="D45" s="21"/>
      <c r="E45" s="21"/>
      <c r="F45" s="21"/>
      <c r="G45" s="22"/>
      <c r="H45" s="31"/>
      <c r="K45" s="57"/>
      <c r="Q45" s="58"/>
    </row>
    <row r="46">
      <c r="A46" s="10" t="s">
        <v>25</v>
      </c>
      <c r="B46" s="12">
        <f t="shared" ref="B46:C46" si="14">B42/B45</f>
        <v>10228.86111</v>
      </c>
      <c r="C46" s="12">
        <f t="shared" si="14"/>
        <v>8362.930233</v>
      </c>
      <c r="D46" s="21"/>
      <c r="E46" s="21"/>
      <c r="F46" s="21"/>
      <c r="G46" s="22"/>
      <c r="H46" s="31"/>
      <c r="K46" s="57"/>
      <c r="Q46" s="58"/>
    </row>
    <row r="47">
      <c r="A47" s="10" t="s">
        <v>27</v>
      </c>
      <c r="B47" s="27">
        <f t="shared" ref="B47:C47" si="15">B45/B43</f>
        <v>0.05590062112</v>
      </c>
      <c r="C47" s="27">
        <f t="shared" si="15"/>
        <v>0.1162162162</v>
      </c>
      <c r="D47" s="21"/>
      <c r="E47" s="21"/>
      <c r="F47" s="21"/>
      <c r="G47" s="22"/>
      <c r="H47" s="31"/>
      <c r="K47" s="57"/>
      <c r="Q47" s="58"/>
    </row>
    <row r="48">
      <c r="A48" s="10" t="s">
        <v>28</v>
      </c>
      <c r="B48" s="20">
        <v>0.0</v>
      </c>
      <c r="C48" s="20">
        <v>0.0</v>
      </c>
      <c r="D48" s="21"/>
      <c r="E48" s="21"/>
      <c r="F48" s="21"/>
      <c r="G48" s="22"/>
      <c r="H48" s="31"/>
      <c r="K48" s="57"/>
      <c r="Q48" s="58"/>
    </row>
    <row r="49">
      <c r="A49" s="10" t="s">
        <v>29</v>
      </c>
      <c r="B49" s="21"/>
      <c r="C49" s="21"/>
      <c r="D49" s="21"/>
      <c r="E49" s="21"/>
      <c r="F49" s="21"/>
      <c r="G49" s="22"/>
      <c r="H49" s="31"/>
      <c r="K49" s="57"/>
      <c r="Q49" s="58"/>
    </row>
    <row r="50">
      <c r="A50" s="10" t="s">
        <v>32</v>
      </c>
      <c r="B50" s="21"/>
      <c r="C50" s="21"/>
      <c r="D50" s="21"/>
      <c r="E50" s="21"/>
      <c r="F50" s="21"/>
      <c r="G50" s="22"/>
      <c r="H50" s="31"/>
      <c r="K50" s="81"/>
      <c r="L50" s="82"/>
      <c r="M50" s="82"/>
      <c r="N50" s="82"/>
      <c r="O50" s="82"/>
      <c r="P50" s="82"/>
      <c r="Q50" s="83"/>
    </row>
    <row r="53">
      <c r="A53" s="142" t="s">
        <v>57</v>
      </c>
    </row>
    <row r="54">
      <c r="A54" s="7" t="s">
        <v>3</v>
      </c>
      <c r="B54" s="8" t="s">
        <v>130</v>
      </c>
      <c r="C54" s="8" t="s">
        <v>131</v>
      </c>
      <c r="D54" s="8" t="s">
        <v>132</v>
      </c>
      <c r="E54" s="8" t="s">
        <v>133</v>
      </c>
      <c r="F54" s="8" t="s">
        <v>134</v>
      </c>
      <c r="G54" s="8" t="s">
        <v>43</v>
      </c>
      <c r="H54" s="9" t="s">
        <v>17</v>
      </c>
    </row>
    <row r="55">
      <c r="A55" s="10" t="s">
        <v>19</v>
      </c>
      <c r="B55" s="11"/>
      <c r="C55" s="11"/>
      <c r="D55" s="21"/>
      <c r="E55" s="21"/>
      <c r="F55" s="11">
        <v>4000.0</v>
      </c>
      <c r="G55" s="22"/>
      <c r="H55" s="31"/>
    </row>
    <row r="56">
      <c r="A56" s="10" t="s">
        <v>21</v>
      </c>
      <c r="B56" s="20"/>
      <c r="C56" s="20"/>
      <c r="D56" s="21"/>
      <c r="E56" s="21"/>
      <c r="F56" s="21"/>
      <c r="G56" s="22"/>
      <c r="H56" s="31"/>
    </row>
    <row r="57">
      <c r="A57" s="10" t="s">
        <v>22</v>
      </c>
      <c r="B57" s="21"/>
      <c r="C57" s="21"/>
      <c r="D57" s="21"/>
      <c r="E57" s="21"/>
      <c r="F57" s="21"/>
      <c r="G57" s="22"/>
      <c r="H57" s="31"/>
    </row>
    <row r="58">
      <c r="A58" s="10" t="s">
        <v>24</v>
      </c>
      <c r="B58" s="20"/>
      <c r="C58" s="20"/>
      <c r="D58" s="21"/>
      <c r="E58" s="21"/>
      <c r="F58" s="21"/>
      <c r="G58" s="22"/>
      <c r="H58" s="31"/>
    </row>
    <row r="59">
      <c r="A59" s="10" t="s">
        <v>25</v>
      </c>
      <c r="B59" s="21"/>
      <c r="C59" s="21"/>
      <c r="D59" s="21"/>
      <c r="E59" s="21"/>
      <c r="F59" s="21"/>
      <c r="G59" s="22"/>
      <c r="H59" s="31"/>
    </row>
    <row r="60">
      <c r="A60" s="10" t="s">
        <v>27</v>
      </c>
      <c r="B60" s="27"/>
      <c r="C60" s="27"/>
      <c r="D60" s="21"/>
      <c r="E60" s="21"/>
      <c r="F60" s="21"/>
      <c r="G60" s="22"/>
      <c r="H60" s="31"/>
    </row>
    <row r="61">
      <c r="A61" s="10" t="s">
        <v>28</v>
      </c>
      <c r="B61" s="20"/>
      <c r="C61" s="20"/>
      <c r="D61" s="21"/>
      <c r="E61" s="21"/>
      <c r="F61" s="21"/>
      <c r="G61" s="22"/>
      <c r="H61" s="31"/>
    </row>
    <row r="62">
      <c r="A62" s="10" t="s">
        <v>29</v>
      </c>
      <c r="B62" s="21"/>
      <c r="C62" s="21"/>
      <c r="D62" s="21"/>
      <c r="E62" s="21"/>
      <c r="F62" s="21"/>
      <c r="G62" s="22"/>
      <c r="H62" s="31"/>
    </row>
    <row r="63">
      <c r="A63" s="10" t="s">
        <v>32</v>
      </c>
      <c r="B63" s="21"/>
      <c r="C63" s="21"/>
      <c r="D63" s="21"/>
      <c r="E63" s="21"/>
      <c r="F63" s="21"/>
      <c r="G63" s="22"/>
      <c r="H63" s="31"/>
    </row>
    <row r="65">
      <c r="A65" s="154" t="s">
        <v>59</v>
      </c>
    </row>
    <row r="66">
      <c r="A66" s="7" t="s">
        <v>3</v>
      </c>
      <c r="B66" s="8" t="s">
        <v>130</v>
      </c>
      <c r="C66" s="8" t="s">
        <v>131</v>
      </c>
      <c r="D66" s="8" t="s">
        <v>132</v>
      </c>
      <c r="E66" s="8" t="s">
        <v>133</v>
      </c>
      <c r="F66" s="8" t="s">
        <v>134</v>
      </c>
      <c r="G66" s="8" t="s">
        <v>43</v>
      </c>
      <c r="H66" s="9" t="s">
        <v>17</v>
      </c>
    </row>
    <row r="67">
      <c r="A67" s="10" t="s">
        <v>19</v>
      </c>
      <c r="B67" s="11">
        <v>445759.0</v>
      </c>
      <c r="C67" s="11">
        <v>484774.0</v>
      </c>
      <c r="D67" s="11">
        <v>585169.0</v>
      </c>
      <c r="E67" s="11">
        <v>126791.0</v>
      </c>
      <c r="F67" s="11">
        <v>44073.0</v>
      </c>
      <c r="G67" s="22"/>
      <c r="H67" s="31"/>
    </row>
    <row r="68">
      <c r="A68" s="10" t="s">
        <v>21</v>
      </c>
      <c r="B68" s="20">
        <v>644.0</v>
      </c>
      <c r="C68" s="20">
        <v>370.0</v>
      </c>
      <c r="D68" s="21"/>
      <c r="E68" s="21"/>
      <c r="F68" s="21"/>
      <c r="G68" s="22"/>
      <c r="H68" s="31"/>
    </row>
    <row r="69">
      <c r="A69" s="10" t="s">
        <v>22</v>
      </c>
      <c r="B69" s="12">
        <f t="shared" ref="B69:C69" si="16">B67/B68</f>
        <v>692.1723602</v>
      </c>
      <c r="C69" s="12">
        <f t="shared" si="16"/>
        <v>1310.2</v>
      </c>
      <c r="D69" s="21"/>
      <c r="E69" s="21"/>
      <c r="F69" s="21"/>
      <c r="G69" s="22"/>
      <c r="H69" s="31"/>
    </row>
    <row r="70">
      <c r="A70" s="10" t="s">
        <v>24</v>
      </c>
      <c r="B70" s="20">
        <v>36.0</v>
      </c>
      <c r="C70" s="20">
        <v>43.0</v>
      </c>
      <c r="D70" s="21"/>
      <c r="E70" s="21"/>
      <c r="F70" s="21"/>
      <c r="G70" s="22"/>
      <c r="H70" s="31"/>
    </row>
    <row r="71">
      <c r="A71" s="10" t="s">
        <v>25</v>
      </c>
      <c r="B71" s="12">
        <f t="shared" ref="B71:C71" si="17">B67/B70</f>
        <v>12382.19444</v>
      </c>
      <c r="C71" s="12">
        <f t="shared" si="17"/>
        <v>11273.81395</v>
      </c>
      <c r="D71" s="21"/>
      <c r="E71" s="21"/>
      <c r="F71" s="21"/>
      <c r="G71" s="22"/>
      <c r="H71" s="31"/>
    </row>
    <row r="72">
      <c r="A72" s="10" t="s">
        <v>27</v>
      </c>
      <c r="B72" s="27">
        <f t="shared" ref="B72:C72" si="18">B70/B68</f>
        <v>0.05590062112</v>
      </c>
      <c r="C72" s="27">
        <f t="shared" si="18"/>
        <v>0.1162162162</v>
      </c>
      <c r="D72" s="21"/>
      <c r="E72" s="21"/>
      <c r="F72" s="21"/>
      <c r="G72" s="22"/>
      <c r="H72" s="31"/>
    </row>
    <row r="73">
      <c r="A73" s="10" t="s">
        <v>28</v>
      </c>
      <c r="B73" s="20">
        <v>0.0</v>
      </c>
      <c r="C73" s="20">
        <v>0.0</v>
      </c>
      <c r="D73" s="21"/>
      <c r="E73" s="21"/>
      <c r="F73" s="21"/>
      <c r="G73" s="22"/>
      <c r="H73" s="31"/>
    </row>
    <row r="74">
      <c r="A74" s="10" t="s">
        <v>29</v>
      </c>
      <c r="B74" s="21"/>
      <c r="C74" s="21"/>
      <c r="D74" s="21"/>
      <c r="E74" s="21"/>
      <c r="F74" s="21"/>
      <c r="G74" s="22"/>
      <c r="H74" s="31"/>
    </row>
    <row r="75">
      <c r="A75" s="10" t="s">
        <v>32</v>
      </c>
      <c r="B75" s="21"/>
      <c r="C75" s="21"/>
      <c r="D75" s="21"/>
      <c r="E75" s="21"/>
      <c r="F75" s="21"/>
      <c r="G75" s="22"/>
      <c r="H75" s="31"/>
    </row>
    <row r="78">
      <c r="A78" s="142" t="s">
        <v>58</v>
      </c>
    </row>
    <row r="79">
      <c r="A79" s="7" t="s">
        <v>3</v>
      </c>
      <c r="B79" s="8" t="s">
        <v>130</v>
      </c>
      <c r="C79" s="8" t="s">
        <v>131</v>
      </c>
      <c r="D79" s="8" t="s">
        <v>132</v>
      </c>
      <c r="E79" s="8" t="s">
        <v>133</v>
      </c>
      <c r="F79" s="8" t="s">
        <v>134</v>
      </c>
      <c r="G79" s="8" t="s">
        <v>43</v>
      </c>
      <c r="H79" s="9" t="s">
        <v>17</v>
      </c>
    </row>
    <row r="80">
      <c r="A80" s="10" t="s">
        <v>19</v>
      </c>
      <c r="B80" s="11">
        <v>74391.0</v>
      </c>
      <c r="C80" s="11">
        <v>66187.0</v>
      </c>
      <c r="D80" s="11">
        <v>77732.0</v>
      </c>
      <c r="E80" s="11">
        <v>74807.0</v>
      </c>
      <c r="F80" s="11">
        <v>29320.0</v>
      </c>
      <c r="G80" s="22"/>
      <c r="H80" s="31"/>
    </row>
    <row r="81">
      <c r="A81" s="10" t="s">
        <v>21</v>
      </c>
      <c r="B81" s="20">
        <v>644.0</v>
      </c>
      <c r="C81" s="20">
        <v>370.0</v>
      </c>
      <c r="D81" s="21"/>
      <c r="E81" s="21"/>
      <c r="F81" s="21"/>
      <c r="G81" s="22"/>
      <c r="H81" s="31"/>
    </row>
    <row r="82">
      <c r="A82" s="10" t="s">
        <v>22</v>
      </c>
      <c r="B82" s="12">
        <f t="shared" ref="B82:C82" si="19">B80/B81</f>
        <v>115.5139752</v>
      </c>
      <c r="C82" s="12">
        <f t="shared" si="19"/>
        <v>178.8837838</v>
      </c>
      <c r="D82" s="21"/>
      <c r="E82" s="21"/>
      <c r="F82" s="21"/>
      <c r="G82" s="22"/>
      <c r="H82" s="31"/>
    </row>
    <row r="83">
      <c r="A83" s="10" t="s">
        <v>24</v>
      </c>
      <c r="B83" s="20">
        <v>36.0</v>
      </c>
      <c r="C83" s="20">
        <v>43.0</v>
      </c>
      <c r="D83" s="21"/>
      <c r="E83" s="21"/>
      <c r="F83" s="21"/>
      <c r="G83" s="22"/>
      <c r="H83" s="31"/>
    </row>
    <row r="84">
      <c r="A84" s="10" t="s">
        <v>25</v>
      </c>
      <c r="B84" s="12">
        <f t="shared" ref="B84:C84" si="20">B80/B83</f>
        <v>2066.416667</v>
      </c>
      <c r="C84" s="12">
        <f t="shared" si="20"/>
        <v>1539.232558</v>
      </c>
      <c r="D84" s="21"/>
      <c r="E84" s="21"/>
      <c r="F84" s="21"/>
      <c r="G84" s="22"/>
      <c r="H84" s="31"/>
    </row>
    <row r="85">
      <c r="A85" s="10" t="s">
        <v>27</v>
      </c>
      <c r="B85" s="27">
        <f t="shared" ref="B85:C85" si="21">B83/B81</f>
        <v>0.05590062112</v>
      </c>
      <c r="C85" s="27">
        <f t="shared" si="21"/>
        <v>0.1162162162</v>
      </c>
      <c r="D85" s="21"/>
      <c r="E85" s="21"/>
      <c r="F85" s="21"/>
      <c r="G85" s="22"/>
      <c r="H85" s="31"/>
    </row>
    <row r="86">
      <c r="A86" s="10" t="s">
        <v>28</v>
      </c>
      <c r="B86" s="20">
        <v>0.0</v>
      </c>
      <c r="C86" s="20">
        <v>0.0</v>
      </c>
      <c r="D86" s="21"/>
      <c r="E86" s="21"/>
      <c r="F86" s="21"/>
      <c r="G86" s="22"/>
      <c r="H86" s="31"/>
    </row>
    <row r="87">
      <c r="A87" s="10" t="s">
        <v>29</v>
      </c>
      <c r="B87" s="21"/>
      <c r="C87" s="21"/>
      <c r="D87" s="21"/>
      <c r="E87" s="21"/>
      <c r="F87" s="21"/>
      <c r="G87" s="22"/>
      <c r="H87" s="31"/>
    </row>
    <row r="88">
      <c r="A88" s="10" t="s">
        <v>32</v>
      </c>
      <c r="B88" s="21"/>
      <c r="C88" s="21"/>
      <c r="D88" s="21"/>
      <c r="E88" s="21"/>
      <c r="F88" s="21"/>
      <c r="G88" s="22"/>
      <c r="H88" s="31"/>
    </row>
    <row r="91">
      <c r="A91" s="142" t="s">
        <v>93</v>
      </c>
    </row>
    <row r="92">
      <c r="A92" s="7" t="s">
        <v>3</v>
      </c>
      <c r="B92" s="8" t="s">
        <v>130</v>
      </c>
      <c r="C92" s="8" t="s">
        <v>131</v>
      </c>
      <c r="D92" s="8" t="s">
        <v>132</v>
      </c>
      <c r="E92" s="8" t="s">
        <v>133</v>
      </c>
      <c r="F92" s="8" t="s">
        <v>134</v>
      </c>
      <c r="G92" s="8" t="s">
        <v>43</v>
      </c>
      <c r="H92" s="9" t="s">
        <v>17</v>
      </c>
    </row>
    <row r="93">
      <c r="A93" s="10" t="s">
        <v>19</v>
      </c>
      <c r="B93" s="11"/>
      <c r="C93" s="11"/>
      <c r="D93" s="21"/>
      <c r="E93" s="21"/>
      <c r="F93" s="21"/>
      <c r="G93" s="22"/>
      <c r="H93" s="31"/>
    </row>
    <row r="94">
      <c r="A94" s="10" t="s">
        <v>21</v>
      </c>
      <c r="B94" s="20"/>
      <c r="C94" s="20"/>
      <c r="D94" s="21"/>
      <c r="E94" s="21"/>
      <c r="F94" s="21"/>
      <c r="G94" s="22"/>
      <c r="H94" s="31"/>
    </row>
    <row r="95">
      <c r="A95" s="10" t="s">
        <v>22</v>
      </c>
      <c r="B95" s="21"/>
      <c r="C95" s="21"/>
      <c r="D95" s="21"/>
      <c r="E95" s="21"/>
      <c r="F95" s="21"/>
      <c r="G95" s="22"/>
      <c r="H95" s="31"/>
    </row>
    <row r="96">
      <c r="A96" s="10" t="s">
        <v>24</v>
      </c>
      <c r="B96" s="20"/>
      <c r="C96" s="20"/>
      <c r="D96" s="21"/>
      <c r="E96" s="21"/>
      <c r="F96" s="21"/>
      <c r="G96" s="22"/>
      <c r="H96" s="31"/>
    </row>
    <row r="97">
      <c r="A97" s="10" t="s">
        <v>25</v>
      </c>
      <c r="B97" s="21"/>
      <c r="C97" s="21"/>
      <c r="D97" s="21"/>
      <c r="E97" s="21"/>
      <c r="F97" s="21"/>
      <c r="G97" s="22"/>
      <c r="H97" s="31"/>
    </row>
    <row r="98">
      <c r="A98" s="10" t="s">
        <v>27</v>
      </c>
      <c r="B98" s="27"/>
      <c r="C98" s="27"/>
      <c r="D98" s="21"/>
      <c r="E98" s="21"/>
      <c r="F98" s="21"/>
      <c r="G98" s="22"/>
      <c r="H98" s="31"/>
    </row>
    <row r="99">
      <c r="A99" s="10" t="s">
        <v>28</v>
      </c>
      <c r="B99" s="20"/>
      <c r="C99" s="20"/>
      <c r="D99" s="21"/>
      <c r="E99" s="21"/>
      <c r="F99" s="21"/>
      <c r="G99" s="22"/>
      <c r="H99" s="31"/>
    </row>
    <row r="100">
      <c r="A100" s="10" t="s">
        <v>29</v>
      </c>
      <c r="B100" s="21"/>
      <c r="C100" s="21"/>
      <c r="D100" s="21"/>
      <c r="E100" s="21"/>
      <c r="F100" s="21"/>
      <c r="G100" s="22"/>
      <c r="H100" s="31"/>
    </row>
    <row r="101">
      <c r="A101" s="10" t="s">
        <v>32</v>
      </c>
      <c r="B101" s="21"/>
      <c r="C101" s="21"/>
      <c r="D101" s="21"/>
      <c r="E101" s="21"/>
      <c r="F101" s="21"/>
      <c r="G101" s="22"/>
      <c r="H101" s="31"/>
    </row>
    <row r="104">
      <c r="A104" s="142" t="s">
        <v>138</v>
      </c>
    </row>
    <row r="105">
      <c r="A105" s="7" t="s">
        <v>3</v>
      </c>
      <c r="B105" s="8" t="s">
        <v>130</v>
      </c>
      <c r="C105" s="8" t="s">
        <v>131</v>
      </c>
      <c r="D105" s="8" t="s">
        <v>132</v>
      </c>
      <c r="E105" s="8" t="s">
        <v>133</v>
      </c>
      <c r="F105" s="8" t="s">
        <v>134</v>
      </c>
      <c r="G105" s="8" t="s">
        <v>43</v>
      </c>
      <c r="H105" s="9" t="s">
        <v>17</v>
      </c>
    </row>
    <row r="106">
      <c r="A106" s="10" t="s">
        <v>19</v>
      </c>
      <c r="B106" s="11">
        <v>260677.0</v>
      </c>
      <c r="C106" s="11">
        <v>244941.0</v>
      </c>
      <c r="D106" s="20">
        <v>178325.0</v>
      </c>
      <c r="E106" s="21"/>
      <c r="F106" s="21"/>
      <c r="G106" s="22"/>
      <c r="H106" s="31"/>
    </row>
    <row r="107">
      <c r="A107" s="10" t="s">
        <v>21</v>
      </c>
      <c r="B107" s="20"/>
      <c r="C107" s="20"/>
      <c r="D107" s="21"/>
      <c r="E107" s="21"/>
      <c r="F107" s="21"/>
      <c r="G107" s="22"/>
      <c r="H107" s="31"/>
    </row>
    <row r="108">
      <c r="A108" s="10" t="s">
        <v>22</v>
      </c>
      <c r="B108" s="21"/>
      <c r="C108" s="21"/>
      <c r="D108" s="21"/>
      <c r="E108" s="21"/>
      <c r="F108" s="21"/>
      <c r="G108" s="22"/>
      <c r="H108" s="31"/>
    </row>
    <row r="109">
      <c r="A109" s="10" t="s">
        <v>24</v>
      </c>
      <c r="B109" s="20"/>
      <c r="C109" s="20"/>
      <c r="D109" s="21"/>
      <c r="E109" s="21"/>
      <c r="F109" s="21"/>
      <c r="G109" s="22"/>
      <c r="H109" s="31"/>
    </row>
    <row r="110">
      <c r="A110" s="10" t="s">
        <v>25</v>
      </c>
      <c r="B110" s="21"/>
      <c r="C110" s="21"/>
      <c r="D110" s="21"/>
      <c r="E110" s="21"/>
      <c r="F110" s="21"/>
      <c r="G110" s="22"/>
      <c r="H110" s="31"/>
    </row>
    <row r="111">
      <c r="A111" s="10" t="s">
        <v>27</v>
      </c>
      <c r="B111" s="27"/>
      <c r="C111" s="27"/>
      <c r="D111" s="21"/>
      <c r="E111" s="21"/>
      <c r="F111" s="21"/>
      <c r="G111" s="22"/>
      <c r="H111" s="31"/>
    </row>
    <row r="112">
      <c r="A112" s="10" t="s">
        <v>28</v>
      </c>
      <c r="B112" s="20"/>
      <c r="C112" s="20"/>
      <c r="D112" s="21"/>
      <c r="E112" s="21"/>
      <c r="F112" s="21"/>
      <c r="G112" s="22"/>
      <c r="H112" s="31"/>
    </row>
    <row r="113">
      <c r="A113" s="10" t="s">
        <v>29</v>
      </c>
      <c r="B113" s="21"/>
      <c r="C113" s="21"/>
      <c r="D113" s="21"/>
      <c r="E113" s="21"/>
      <c r="F113" s="21"/>
      <c r="G113" s="22"/>
      <c r="H113" s="31"/>
    </row>
    <row r="114">
      <c r="A114" s="10" t="s">
        <v>32</v>
      </c>
      <c r="B114" s="21"/>
      <c r="C114" s="21"/>
      <c r="D114" s="21"/>
      <c r="E114" s="21"/>
      <c r="F114" s="21"/>
      <c r="G114" s="22"/>
      <c r="H114" s="31"/>
    </row>
    <row r="117">
      <c r="A117" s="144" t="s">
        <v>76</v>
      </c>
    </row>
    <row r="118">
      <c r="A118" s="7" t="s">
        <v>3</v>
      </c>
      <c r="B118" s="8" t="s">
        <v>130</v>
      </c>
      <c r="C118" s="8" t="s">
        <v>131</v>
      </c>
      <c r="D118" s="8" t="s">
        <v>132</v>
      </c>
      <c r="E118" s="8" t="s">
        <v>133</v>
      </c>
      <c r="F118" s="8" t="s">
        <v>134</v>
      </c>
      <c r="G118" s="8" t="s">
        <v>43</v>
      </c>
      <c r="H118" s="9" t="s">
        <v>17</v>
      </c>
    </row>
    <row r="119">
      <c r="A119" s="10" t="s">
        <v>19</v>
      </c>
      <c r="B119" s="11">
        <v>82225.0</v>
      </c>
      <c r="C119" s="11">
        <v>75319.0</v>
      </c>
      <c r="D119" s="11">
        <v>75049.0</v>
      </c>
      <c r="E119" s="11">
        <v>25689.0</v>
      </c>
      <c r="F119" s="11">
        <v>58154.0</v>
      </c>
      <c r="G119" s="22"/>
      <c r="H119" s="31"/>
    </row>
    <row r="120">
      <c r="A120" s="10" t="s">
        <v>21</v>
      </c>
      <c r="B120" s="20"/>
      <c r="C120" s="20"/>
      <c r="D120" s="21"/>
      <c r="E120" s="21"/>
      <c r="F120" s="21"/>
      <c r="G120" s="22"/>
      <c r="H120" s="31"/>
    </row>
    <row r="121">
      <c r="A121" s="10" t="s">
        <v>22</v>
      </c>
      <c r="B121" s="21"/>
      <c r="C121" s="21"/>
      <c r="D121" s="21"/>
      <c r="E121" s="21"/>
      <c r="F121" s="21"/>
      <c r="G121" s="22"/>
      <c r="H121" s="31"/>
    </row>
    <row r="122">
      <c r="A122" s="10" t="s">
        <v>24</v>
      </c>
      <c r="B122" s="20"/>
      <c r="C122" s="20"/>
      <c r="D122" s="21"/>
      <c r="E122" s="21"/>
      <c r="F122" s="21"/>
      <c r="G122" s="22"/>
      <c r="H122" s="31"/>
    </row>
    <row r="123">
      <c r="A123" s="10" t="s">
        <v>25</v>
      </c>
      <c r="B123" s="21"/>
      <c r="C123" s="21"/>
      <c r="D123" s="21"/>
      <c r="E123" s="21"/>
      <c r="F123" s="21"/>
      <c r="G123" s="22"/>
      <c r="H123" s="31"/>
    </row>
    <row r="124">
      <c r="A124" s="10" t="s">
        <v>27</v>
      </c>
      <c r="B124" s="27"/>
      <c r="C124" s="27"/>
      <c r="D124" s="21"/>
      <c r="E124" s="21"/>
      <c r="F124" s="21"/>
      <c r="G124" s="22"/>
      <c r="H124" s="31"/>
    </row>
    <row r="125">
      <c r="A125" s="10" t="s">
        <v>28</v>
      </c>
      <c r="B125" s="20"/>
      <c r="C125" s="20"/>
      <c r="D125" s="21"/>
      <c r="E125" s="21"/>
      <c r="F125" s="21"/>
      <c r="G125" s="22"/>
      <c r="H125" s="31"/>
    </row>
    <row r="126">
      <c r="A126" s="10" t="s">
        <v>29</v>
      </c>
      <c r="B126" s="21"/>
      <c r="C126" s="21"/>
      <c r="D126" s="21"/>
      <c r="E126" s="21"/>
      <c r="F126" s="21"/>
      <c r="G126" s="22"/>
      <c r="H126" s="31"/>
    </row>
    <row r="127">
      <c r="A127" s="10" t="s">
        <v>32</v>
      </c>
      <c r="B127" s="21"/>
      <c r="C127" s="21"/>
      <c r="D127" s="21"/>
      <c r="E127" s="21"/>
      <c r="F127" s="21"/>
      <c r="G127" s="22"/>
      <c r="H127" s="31"/>
    </row>
    <row r="130">
      <c r="A130" s="4" t="s">
        <v>61</v>
      </c>
    </row>
    <row r="131">
      <c r="A131" s="7" t="s">
        <v>3</v>
      </c>
      <c r="B131" s="8" t="s">
        <v>130</v>
      </c>
      <c r="C131" s="8" t="s">
        <v>131</v>
      </c>
      <c r="D131" s="8" t="s">
        <v>132</v>
      </c>
      <c r="E131" s="8" t="s">
        <v>133</v>
      </c>
      <c r="F131" s="8" t="s">
        <v>134</v>
      </c>
      <c r="G131" s="8" t="s">
        <v>43</v>
      </c>
    </row>
    <row r="132">
      <c r="A132" s="10" t="s">
        <v>62</v>
      </c>
      <c r="B132" s="11">
        <v>2021458.0</v>
      </c>
      <c r="C132" s="11">
        <f t="shared" ref="C132:F132" si="22">C4</f>
        <v>2239352</v>
      </c>
      <c r="D132" s="11">
        <f t="shared" si="22"/>
        <v>2568246</v>
      </c>
      <c r="E132" s="11">
        <f t="shared" si="22"/>
        <v>2250781</v>
      </c>
      <c r="F132" s="11">
        <f t="shared" si="22"/>
        <v>1016537</v>
      </c>
      <c r="G132" s="13">
        <f>B132+C132</f>
        <v>4260810</v>
      </c>
    </row>
    <row r="133">
      <c r="A133" s="10" t="s">
        <v>63</v>
      </c>
      <c r="B133" s="11">
        <v>82225.0</v>
      </c>
      <c r="C133" s="11">
        <v>75319.0</v>
      </c>
      <c r="D133" s="11">
        <v>75049.0</v>
      </c>
      <c r="E133" s="11">
        <v>25689.0</v>
      </c>
      <c r="F133" s="11">
        <v>58154.0</v>
      </c>
      <c r="G133" s="13">
        <f>C133+B133</f>
        <v>157544</v>
      </c>
    </row>
    <row r="134">
      <c r="A134" s="10" t="s">
        <v>64</v>
      </c>
      <c r="B134" s="20">
        <v>36.0</v>
      </c>
      <c r="C134" s="20">
        <v>43.0</v>
      </c>
      <c r="D134" s="21"/>
      <c r="E134" s="21"/>
      <c r="F134" s="21"/>
      <c r="G134" s="22">
        <f>B134+C134</f>
        <v>79</v>
      </c>
    </row>
    <row r="135">
      <c r="A135" s="10" t="s">
        <v>65</v>
      </c>
      <c r="B135" s="20"/>
      <c r="C135" s="20"/>
      <c r="D135" s="21"/>
      <c r="E135" s="21"/>
      <c r="F135" s="21"/>
      <c r="G135" s="22"/>
    </row>
    <row r="136">
      <c r="A136" s="10" t="s">
        <v>139</v>
      </c>
      <c r="B136" s="20"/>
      <c r="C136" s="20"/>
      <c r="D136" s="21"/>
      <c r="E136" s="21"/>
      <c r="F136" s="21"/>
      <c r="G136" s="22"/>
    </row>
    <row r="137">
      <c r="A137" s="10" t="s">
        <v>67</v>
      </c>
      <c r="B137" s="12">
        <f t="shared" ref="B137:C137" si="23">B132/B134</f>
        <v>56151.61111</v>
      </c>
      <c r="C137" s="12">
        <f t="shared" si="23"/>
        <v>52077.95349</v>
      </c>
      <c r="D137" s="21"/>
      <c r="E137" s="21"/>
      <c r="F137" s="21"/>
      <c r="G137" s="13">
        <f>G132/G134</f>
        <v>53934.3038</v>
      </c>
    </row>
    <row r="138">
      <c r="A138" s="10" t="s">
        <v>68</v>
      </c>
      <c r="B138" s="21"/>
      <c r="C138" s="21"/>
      <c r="D138" s="21"/>
      <c r="E138" s="21"/>
      <c r="F138" s="21"/>
      <c r="G138" s="22"/>
    </row>
    <row r="139">
      <c r="A139" s="10" t="s">
        <v>69</v>
      </c>
      <c r="B139" s="20">
        <v>0.0</v>
      </c>
      <c r="C139" s="20">
        <v>0.0</v>
      </c>
      <c r="D139" s="21"/>
      <c r="E139" s="21"/>
      <c r="F139" s="21"/>
      <c r="G139" s="22"/>
    </row>
    <row r="140">
      <c r="A140" s="10" t="s">
        <v>70</v>
      </c>
      <c r="B140" s="20"/>
      <c r="C140" s="20"/>
      <c r="D140" s="21"/>
      <c r="E140" s="21"/>
      <c r="F140" s="21"/>
      <c r="G140" s="22"/>
    </row>
    <row r="141">
      <c r="A141" s="10" t="s">
        <v>71</v>
      </c>
      <c r="B141" s="21"/>
      <c r="C141" s="21"/>
      <c r="D141" s="21"/>
      <c r="E141" s="21"/>
      <c r="F141" s="21"/>
      <c r="G141" s="22"/>
    </row>
    <row r="142">
      <c r="A142" s="10" t="s">
        <v>72</v>
      </c>
      <c r="B142" s="21"/>
      <c r="C142" s="21"/>
      <c r="D142" s="21"/>
      <c r="E142" s="21"/>
      <c r="F142" s="21"/>
      <c r="G142" s="22"/>
    </row>
    <row r="143">
      <c r="A143" s="10" t="s">
        <v>32</v>
      </c>
      <c r="B143" s="21"/>
      <c r="C143" s="21"/>
      <c r="D143" s="21"/>
      <c r="E143" s="21"/>
      <c r="F143" s="21"/>
      <c r="G143" s="22"/>
    </row>
  </sheetData>
  <mergeCells count="4">
    <mergeCell ref="K3:Q12"/>
    <mergeCell ref="K15:Q24"/>
    <mergeCell ref="K28:Q37"/>
    <mergeCell ref="K41:Q50"/>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2" width="14.88"/>
  </cols>
  <sheetData>
    <row r="1">
      <c r="A1" s="4" t="s">
        <v>1</v>
      </c>
    </row>
    <row r="2">
      <c r="A2" s="7" t="s">
        <v>3</v>
      </c>
      <c r="B2" s="8" t="s">
        <v>140</v>
      </c>
    </row>
    <row r="3">
      <c r="A3" s="10" t="s">
        <v>19</v>
      </c>
      <c r="B3" s="11">
        <v>100.0</v>
      </c>
    </row>
    <row r="4">
      <c r="A4" s="10" t="s">
        <v>21</v>
      </c>
      <c r="B4" s="20">
        <f>B16+B29+B42+B55+B67+B80+B93+B106</f>
        <v>0</v>
      </c>
    </row>
    <row r="5">
      <c r="A5" s="10" t="s">
        <v>22</v>
      </c>
      <c r="B5" s="21" t="str">
        <f>B3/B4</f>
        <v>#DIV/0!</v>
      </c>
    </row>
    <row r="6">
      <c r="A6" s="10" t="s">
        <v>24</v>
      </c>
      <c r="B6" s="20">
        <f>B18+B31+B44+B57+B69+B82+B95+B108</f>
        <v>0</v>
      </c>
    </row>
    <row r="7">
      <c r="A7" s="10" t="s">
        <v>25</v>
      </c>
      <c r="B7" s="21" t="str">
        <f>B3/B6</f>
        <v>#DIV/0!</v>
      </c>
    </row>
    <row r="8">
      <c r="A8" s="10" t="s">
        <v>27</v>
      </c>
      <c r="B8" s="27" t="str">
        <f>B6/B4</f>
        <v>#DIV/0!</v>
      </c>
    </row>
    <row r="9">
      <c r="A9" s="10" t="s">
        <v>28</v>
      </c>
      <c r="B9" s="20">
        <v>0.0</v>
      </c>
    </row>
    <row r="10">
      <c r="A10" s="10" t="s">
        <v>53</v>
      </c>
      <c r="B10" s="21"/>
    </row>
    <row r="11">
      <c r="A11" s="10" t="s">
        <v>32</v>
      </c>
      <c r="B11" s="21"/>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2" width="19.38"/>
    <col customWidth="1" min="3" max="5" width="16.13"/>
  </cols>
  <sheetData>
    <row r="1">
      <c r="A1" s="4" t="s">
        <v>1</v>
      </c>
    </row>
    <row r="2">
      <c r="A2" s="7" t="s">
        <v>3</v>
      </c>
      <c r="B2" s="8" t="s">
        <v>119</v>
      </c>
      <c r="C2" s="8" t="s">
        <v>141</v>
      </c>
      <c r="D2" s="8" t="s">
        <v>142</v>
      </c>
      <c r="E2" s="8" t="s">
        <v>143</v>
      </c>
      <c r="F2" s="8" t="s">
        <v>43</v>
      </c>
      <c r="G2" s="9" t="s">
        <v>17</v>
      </c>
      <c r="I2" s="162" t="s">
        <v>135</v>
      </c>
      <c r="J2" s="49"/>
      <c r="K2" s="49"/>
      <c r="L2" s="49"/>
      <c r="M2" s="49"/>
      <c r="N2" s="49"/>
      <c r="O2" s="50"/>
    </row>
    <row r="3">
      <c r="A3" s="10" t="s">
        <v>19</v>
      </c>
      <c r="B3" s="11">
        <v>2100000.0</v>
      </c>
      <c r="C3" s="11">
        <v>1700000.0</v>
      </c>
      <c r="D3" s="21"/>
      <c r="E3" s="21"/>
      <c r="F3" s="22"/>
      <c r="G3" s="31"/>
      <c r="I3" s="57"/>
      <c r="O3" s="58"/>
    </row>
    <row r="4">
      <c r="A4" s="10" t="s">
        <v>21</v>
      </c>
      <c r="B4" s="20">
        <v>644.0</v>
      </c>
      <c r="C4" s="20">
        <v>370.0</v>
      </c>
      <c r="D4" s="21"/>
      <c r="E4" s="21"/>
      <c r="F4" s="22"/>
      <c r="G4" s="31"/>
      <c r="I4" s="57"/>
      <c r="O4" s="58"/>
    </row>
    <row r="5">
      <c r="A5" s="10" t="s">
        <v>22</v>
      </c>
      <c r="B5" s="12">
        <f t="shared" ref="B5:C5" si="1">B3/B4</f>
        <v>3260.869565</v>
      </c>
      <c r="C5" s="12">
        <f t="shared" si="1"/>
        <v>4594.594595</v>
      </c>
      <c r="D5" s="21"/>
      <c r="E5" s="21"/>
      <c r="F5" s="22"/>
      <c r="G5" s="31"/>
      <c r="I5" s="57"/>
      <c r="O5" s="58"/>
    </row>
    <row r="6">
      <c r="A6" s="10" t="s">
        <v>24</v>
      </c>
      <c r="B6" s="20">
        <v>36.0</v>
      </c>
      <c r="C6" s="20">
        <v>43.0</v>
      </c>
      <c r="D6" s="21"/>
      <c r="E6" s="21"/>
      <c r="F6" s="22"/>
      <c r="G6" s="31"/>
      <c r="I6" s="57"/>
      <c r="O6" s="58"/>
    </row>
    <row r="7">
      <c r="A7" s="10" t="s">
        <v>25</v>
      </c>
      <c r="B7" s="12">
        <f t="shared" ref="B7:C7" si="2">B3/B6</f>
        <v>58333.33333</v>
      </c>
      <c r="C7" s="12">
        <f t="shared" si="2"/>
        <v>39534.88372</v>
      </c>
      <c r="D7" s="21"/>
      <c r="E7" s="21"/>
      <c r="F7" s="22"/>
      <c r="G7" s="31"/>
      <c r="I7" s="57"/>
      <c r="O7" s="58"/>
    </row>
    <row r="8">
      <c r="A8" s="10" t="s">
        <v>27</v>
      </c>
      <c r="B8" s="27">
        <f t="shared" ref="B8:C8" si="3">B6/B4</f>
        <v>0.05590062112</v>
      </c>
      <c r="C8" s="27">
        <f t="shared" si="3"/>
        <v>0.1162162162</v>
      </c>
      <c r="D8" s="21"/>
      <c r="E8" s="21"/>
      <c r="F8" s="22"/>
      <c r="G8" s="31"/>
      <c r="I8" s="57"/>
      <c r="O8" s="58"/>
    </row>
    <row r="9">
      <c r="A9" s="10" t="s">
        <v>28</v>
      </c>
      <c r="B9" s="20">
        <v>0.0</v>
      </c>
      <c r="C9" s="20">
        <v>0.0</v>
      </c>
      <c r="D9" s="21"/>
      <c r="E9" s="21"/>
      <c r="F9" s="22"/>
      <c r="G9" s="31"/>
      <c r="I9" s="57"/>
      <c r="O9" s="58"/>
    </row>
    <row r="10">
      <c r="A10" s="10" t="s">
        <v>53</v>
      </c>
      <c r="B10" s="21"/>
      <c r="C10" s="21"/>
      <c r="D10" s="21"/>
      <c r="E10" s="21"/>
      <c r="F10" s="22"/>
      <c r="G10" s="31"/>
      <c r="I10" s="57"/>
      <c r="O10" s="58"/>
    </row>
    <row r="11">
      <c r="A11" s="10" t="s">
        <v>32</v>
      </c>
      <c r="B11" s="21"/>
      <c r="C11" s="21"/>
      <c r="D11" s="21"/>
      <c r="E11" s="21"/>
      <c r="F11" s="22"/>
      <c r="G11" s="31"/>
      <c r="I11" s="81"/>
      <c r="J11" s="82"/>
      <c r="K11" s="82"/>
      <c r="L11" s="82"/>
      <c r="M11" s="82"/>
      <c r="N11" s="82"/>
      <c r="O11" s="83"/>
    </row>
    <row r="13">
      <c r="A13" s="133" t="s">
        <v>54</v>
      </c>
    </row>
    <row r="14">
      <c r="A14" s="7" t="s">
        <v>3</v>
      </c>
      <c r="B14" s="8" t="s">
        <v>119</v>
      </c>
      <c r="C14" s="8" t="s">
        <v>141</v>
      </c>
      <c r="D14" s="8" t="s">
        <v>142</v>
      </c>
      <c r="E14" s="8" t="s">
        <v>143</v>
      </c>
      <c r="F14" s="8" t="s">
        <v>43</v>
      </c>
      <c r="G14" s="9" t="s">
        <v>17</v>
      </c>
      <c r="I14" s="162" t="s">
        <v>136</v>
      </c>
      <c r="J14" s="49"/>
      <c r="K14" s="49"/>
      <c r="L14" s="49"/>
      <c r="M14" s="49"/>
      <c r="N14" s="49"/>
      <c r="O14" s="50"/>
    </row>
    <row r="15">
      <c r="A15" s="10" t="s">
        <v>19</v>
      </c>
      <c r="B15" s="11">
        <v>2100000.0</v>
      </c>
      <c r="C15" s="11">
        <v>1700000.0</v>
      </c>
      <c r="D15" s="21"/>
      <c r="E15" s="21"/>
      <c r="F15" s="22"/>
      <c r="G15" s="31"/>
      <c r="I15" s="57"/>
      <c r="O15" s="58"/>
    </row>
    <row r="16">
      <c r="A16" s="10" t="s">
        <v>21</v>
      </c>
      <c r="B16" s="20">
        <v>644.0</v>
      </c>
      <c r="C16" s="20">
        <v>370.0</v>
      </c>
      <c r="D16" s="21"/>
      <c r="E16" s="21"/>
      <c r="F16" s="22"/>
      <c r="G16" s="31"/>
      <c r="I16" s="57"/>
      <c r="O16" s="58"/>
    </row>
    <row r="17">
      <c r="A17" s="10" t="s">
        <v>22</v>
      </c>
      <c r="B17" s="12">
        <f t="shared" ref="B17:C17" si="4">B15/B16</f>
        <v>3260.869565</v>
      </c>
      <c r="C17" s="12">
        <f t="shared" si="4"/>
        <v>4594.594595</v>
      </c>
      <c r="D17" s="21"/>
      <c r="E17" s="21"/>
      <c r="F17" s="22"/>
      <c r="G17" s="31"/>
      <c r="I17" s="57"/>
      <c r="O17" s="58"/>
    </row>
    <row r="18">
      <c r="A18" s="10" t="s">
        <v>24</v>
      </c>
      <c r="B18" s="20">
        <v>36.0</v>
      </c>
      <c r="C18" s="20">
        <v>43.0</v>
      </c>
      <c r="D18" s="21"/>
      <c r="E18" s="21"/>
      <c r="F18" s="22"/>
      <c r="G18" s="31"/>
      <c r="I18" s="57"/>
      <c r="O18" s="58"/>
    </row>
    <row r="19">
      <c r="A19" s="10" t="s">
        <v>25</v>
      </c>
      <c r="B19" s="12">
        <f t="shared" ref="B19:C19" si="5">B15/B18</f>
        <v>58333.33333</v>
      </c>
      <c r="C19" s="12">
        <f t="shared" si="5"/>
        <v>39534.88372</v>
      </c>
      <c r="D19" s="21"/>
      <c r="E19" s="21"/>
      <c r="F19" s="22"/>
      <c r="G19" s="31"/>
      <c r="I19" s="57"/>
      <c r="O19" s="58"/>
    </row>
    <row r="20">
      <c r="A20" s="10" t="s">
        <v>27</v>
      </c>
      <c r="B20" s="27">
        <f t="shared" ref="B20:C20" si="6">B18/B16</f>
        <v>0.05590062112</v>
      </c>
      <c r="C20" s="27">
        <f t="shared" si="6"/>
        <v>0.1162162162</v>
      </c>
      <c r="D20" s="21"/>
      <c r="E20" s="21"/>
      <c r="F20" s="22"/>
      <c r="G20" s="31"/>
      <c r="I20" s="57"/>
      <c r="O20" s="58"/>
    </row>
    <row r="21">
      <c r="A21" s="10" t="s">
        <v>28</v>
      </c>
      <c r="B21" s="20">
        <v>0.0</v>
      </c>
      <c r="C21" s="20">
        <v>0.0</v>
      </c>
      <c r="D21" s="21"/>
      <c r="E21" s="21"/>
      <c r="F21" s="22"/>
      <c r="G21" s="31"/>
      <c r="I21" s="57"/>
      <c r="O21" s="58"/>
    </row>
    <row r="22">
      <c r="A22" s="10" t="s">
        <v>29</v>
      </c>
      <c r="B22" s="21"/>
      <c r="C22" s="21"/>
      <c r="D22" s="21"/>
      <c r="E22" s="21"/>
      <c r="F22" s="22"/>
      <c r="G22" s="31"/>
      <c r="I22" s="57"/>
      <c r="O22" s="58"/>
    </row>
    <row r="23">
      <c r="A23" s="10" t="s">
        <v>32</v>
      </c>
      <c r="B23" s="21"/>
      <c r="C23" s="21"/>
      <c r="D23" s="21"/>
      <c r="E23" s="21"/>
      <c r="F23" s="22"/>
      <c r="G23" s="31"/>
      <c r="I23" s="81"/>
      <c r="J23" s="82"/>
      <c r="K23" s="82"/>
      <c r="L23" s="82"/>
      <c r="M23" s="82"/>
      <c r="N23" s="82"/>
      <c r="O23" s="83"/>
    </row>
    <row r="26">
      <c r="A26" s="139" t="s">
        <v>55</v>
      </c>
    </row>
    <row r="27">
      <c r="A27" s="7" t="s">
        <v>3</v>
      </c>
      <c r="B27" s="8" t="s">
        <v>119</v>
      </c>
      <c r="C27" s="8" t="s">
        <v>141</v>
      </c>
      <c r="D27" s="8" t="s">
        <v>142</v>
      </c>
      <c r="E27" s="8" t="s">
        <v>143</v>
      </c>
      <c r="F27" s="8" t="s">
        <v>43</v>
      </c>
      <c r="G27" s="9" t="s">
        <v>17</v>
      </c>
      <c r="I27" s="162" t="s">
        <v>137</v>
      </c>
      <c r="J27" s="49"/>
      <c r="K27" s="49"/>
      <c r="L27" s="49"/>
      <c r="M27" s="49"/>
      <c r="N27" s="49"/>
      <c r="O27" s="50"/>
    </row>
    <row r="28">
      <c r="A28" s="10" t="s">
        <v>19</v>
      </c>
      <c r="B28" s="11">
        <v>2100000.0</v>
      </c>
      <c r="C28" s="11">
        <v>1700000.0</v>
      </c>
      <c r="D28" s="21"/>
      <c r="E28" s="21"/>
      <c r="F28" s="22"/>
      <c r="G28" s="31"/>
      <c r="I28" s="57"/>
      <c r="O28" s="58"/>
    </row>
    <row r="29">
      <c r="A29" s="10" t="s">
        <v>21</v>
      </c>
      <c r="B29" s="20">
        <v>644.0</v>
      </c>
      <c r="C29" s="20">
        <v>370.0</v>
      </c>
      <c r="D29" s="21"/>
      <c r="E29" s="21"/>
      <c r="F29" s="22"/>
      <c r="G29" s="31"/>
      <c r="I29" s="57"/>
      <c r="O29" s="58"/>
    </row>
    <row r="30">
      <c r="A30" s="10" t="s">
        <v>22</v>
      </c>
      <c r="B30" s="12">
        <f t="shared" ref="B30:C30" si="7">B28/B29</f>
        <v>3260.869565</v>
      </c>
      <c r="C30" s="12">
        <f t="shared" si="7"/>
        <v>4594.594595</v>
      </c>
      <c r="D30" s="21"/>
      <c r="E30" s="21"/>
      <c r="F30" s="22"/>
      <c r="G30" s="31"/>
      <c r="I30" s="57"/>
      <c r="O30" s="58"/>
    </row>
    <row r="31">
      <c r="A31" s="10" t="s">
        <v>24</v>
      </c>
      <c r="B31" s="20">
        <v>36.0</v>
      </c>
      <c r="C31" s="20">
        <v>43.0</v>
      </c>
      <c r="D31" s="21"/>
      <c r="E31" s="21"/>
      <c r="F31" s="22"/>
      <c r="G31" s="31"/>
      <c r="I31" s="57"/>
      <c r="O31" s="58"/>
    </row>
    <row r="32">
      <c r="A32" s="10" t="s">
        <v>25</v>
      </c>
      <c r="B32" s="12">
        <f t="shared" ref="B32:C32" si="8">B28/B31</f>
        <v>58333.33333</v>
      </c>
      <c r="C32" s="12">
        <f t="shared" si="8"/>
        <v>39534.88372</v>
      </c>
      <c r="D32" s="21"/>
      <c r="E32" s="21"/>
      <c r="F32" s="22"/>
      <c r="G32" s="31"/>
      <c r="I32" s="57"/>
      <c r="O32" s="58"/>
    </row>
    <row r="33">
      <c r="A33" s="10" t="s">
        <v>27</v>
      </c>
      <c r="B33" s="27">
        <f t="shared" ref="B33:C33" si="9">B31/B29</f>
        <v>0.05590062112</v>
      </c>
      <c r="C33" s="27">
        <f t="shared" si="9"/>
        <v>0.1162162162</v>
      </c>
      <c r="D33" s="21"/>
      <c r="E33" s="21"/>
      <c r="F33" s="22"/>
      <c r="G33" s="31"/>
      <c r="I33" s="57"/>
      <c r="O33" s="58"/>
    </row>
    <row r="34">
      <c r="A34" s="10" t="s">
        <v>28</v>
      </c>
      <c r="B34" s="20">
        <v>0.0</v>
      </c>
      <c r="C34" s="20">
        <v>0.0</v>
      </c>
      <c r="D34" s="21"/>
      <c r="E34" s="21"/>
      <c r="F34" s="22"/>
      <c r="G34" s="31"/>
      <c r="I34" s="57"/>
      <c r="O34" s="58"/>
    </row>
    <row r="35">
      <c r="A35" s="10" t="s">
        <v>29</v>
      </c>
      <c r="B35" s="21"/>
      <c r="C35" s="21"/>
      <c r="D35" s="21"/>
      <c r="E35" s="21"/>
      <c r="F35" s="22"/>
      <c r="G35" s="31"/>
      <c r="I35" s="57"/>
      <c r="O35" s="58"/>
    </row>
    <row r="36">
      <c r="A36" s="10" t="s">
        <v>32</v>
      </c>
      <c r="B36" s="21"/>
      <c r="C36" s="21"/>
      <c r="D36" s="21"/>
      <c r="E36" s="21"/>
      <c r="F36" s="22"/>
      <c r="G36" s="31"/>
      <c r="I36" s="81"/>
      <c r="J36" s="82"/>
      <c r="K36" s="82"/>
      <c r="L36" s="82"/>
      <c r="M36" s="82"/>
      <c r="N36" s="82"/>
      <c r="O36" s="83"/>
    </row>
    <row r="39">
      <c r="A39" s="141" t="s">
        <v>56</v>
      </c>
    </row>
    <row r="40">
      <c r="A40" s="7" t="s">
        <v>3</v>
      </c>
      <c r="B40" s="8" t="s">
        <v>119</v>
      </c>
      <c r="C40" s="8" t="s">
        <v>141</v>
      </c>
      <c r="D40" s="8" t="s">
        <v>142</v>
      </c>
      <c r="E40" s="8" t="s">
        <v>143</v>
      </c>
      <c r="F40" s="8" t="s">
        <v>43</v>
      </c>
      <c r="G40" s="9" t="s">
        <v>17</v>
      </c>
      <c r="I40" s="162" t="s">
        <v>128</v>
      </c>
      <c r="J40" s="49"/>
      <c r="K40" s="49"/>
      <c r="L40" s="49"/>
      <c r="M40" s="49"/>
      <c r="N40" s="49"/>
      <c r="O40" s="50"/>
    </row>
    <row r="41">
      <c r="A41" s="10" t="s">
        <v>19</v>
      </c>
      <c r="B41" s="11">
        <v>2100000.0</v>
      </c>
      <c r="C41" s="11">
        <v>1700000.0</v>
      </c>
      <c r="D41" s="21"/>
      <c r="E41" s="21"/>
      <c r="F41" s="22"/>
      <c r="G41" s="31"/>
      <c r="I41" s="57"/>
      <c r="O41" s="58"/>
    </row>
    <row r="42">
      <c r="A42" s="10" t="s">
        <v>21</v>
      </c>
      <c r="B42" s="20">
        <v>644.0</v>
      </c>
      <c r="C42" s="20">
        <v>370.0</v>
      </c>
      <c r="D42" s="21"/>
      <c r="E42" s="21"/>
      <c r="F42" s="22"/>
      <c r="G42" s="31"/>
      <c r="I42" s="57"/>
      <c r="O42" s="58"/>
    </row>
    <row r="43">
      <c r="A43" s="10" t="s">
        <v>22</v>
      </c>
      <c r="B43" s="12">
        <f t="shared" ref="B43:C43" si="10">B41/B42</f>
        <v>3260.869565</v>
      </c>
      <c r="C43" s="12">
        <f t="shared" si="10"/>
        <v>4594.594595</v>
      </c>
      <c r="D43" s="21"/>
      <c r="E43" s="21"/>
      <c r="F43" s="22"/>
      <c r="G43" s="31"/>
      <c r="I43" s="57"/>
      <c r="O43" s="58"/>
    </row>
    <row r="44">
      <c r="A44" s="10" t="s">
        <v>24</v>
      </c>
      <c r="B44" s="20">
        <v>36.0</v>
      </c>
      <c r="C44" s="20">
        <v>43.0</v>
      </c>
      <c r="D44" s="21"/>
      <c r="E44" s="21"/>
      <c r="F44" s="22"/>
      <c r="G44" s="31"/>
      <c r="I44" s="57"/>
      <c r="O44" s="58"/>
    </row>
    <row r="45">
      <c r="A45" s="10" t="s">
        <v>25</v>
      </c>
      <c r="B45" s="12">
        <f t="shared" ref="B45:C45" si="11">B41/B44</f>
        <v>58333.33333</v>
      </c>
      <c r="C45" s="12">
        <f t="shared" si="11"/>
        <v>39534.88372</v>
      </c>
      <c r="D45" s="21"/>
      <c r="E45" s="21"/>
      <c r="F45" s="22"/>
      <c r="G45" s="31"/>
      <c r="I45" s="57"/>
      <c r="O45" s="58"/>
    </row>
    <row r="46">
      <c r="A46" s="10" t="s">
        <v>27</v>
      </c>
      <c r="B46" s="27">
        <f t="shared" ref="B46:C46" si="12">B44/B42</f>
        <v>0.05590062112</v>
      </c>
      <c r="C46" s="27">
        <f t="shared" si="12"/>
        <v>0.1162162162</v>
      </c>
      <c r="D46" s="21"/>
      <c r="E46" s="21"/>
      <c r="F46" s="22"/>
      <c r="G46" s="31"/>
      <c r="I46" s="57"/>
      <c r="O46" s="58"/>
    </row>
    <row r="47">
      <c r="A47" s="10" t="s">
        <v>28</v>
      </c>
      <c r="B47" s="20">
        <v>0.0</v>
      </c>
      <c r="C47" s="20">
        <v>0.0</v>
      </c>
      <c r="D47" s="21"/>
      <c r="E47" s="21"/>
      <c r="F47" s="22"/>
      <c r="G47" s="31"/>
      <c r="I47" s="57"/>
      <c r="O47" s="58"/>
    </row>
    <row r="48">
      <c r="A48" s="10" t="s">
        <v>29</v>
      </c>
      <c r="B48" s="21"/>
      <c r="C48" s="21"/>
      <c r="D48" s="21"/>
      <c r="E48" s="21"/>
      <c r="F48" s="22"/>
      <c r="G48" s="31"/>
      <c r="I48" s="57"/>
      <c r="O48" s="58"/>
    </row>
    <row r="49">
      <c r="A49" s="10" t="s">
        <v>32</v>
      </c>
      <c r="B49" s="21"/>
      <c r="C49" s="21"/>
      <c r="D49" s="21"/>
      <c r="E49" s="21"/>
      <c r="F49" s="22"/>
      <c r="G49" s="31"/>
      <c r="I49" s="81"/>
      <c r="J49" s="82"/>
      <c r="K49" s="82"/>
      <c r="L49" s="82"/>
      <c r="M49" s="82"/>
      <c r="N49" s="82"/>
      <c r="O49" s="83"/>
    </row>
  </sheetData>
  <mergeCells count="4">
    <mergeCell ref="I2:O11"/>
    <mergeCell ref="I14:O23"/>
    <mergeCell ref="I27:O36"/>
    <mergeCell ref="I40:O49"/>
  </mergeCells>
  <drawing r:id="rId1"/>
</worksheet>
</file>